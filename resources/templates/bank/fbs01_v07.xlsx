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jonathanjimenez/Downloads/"/>
    </mc:Choice>
  </mc:AlternateContent>
  <xr:revisionPtr revIDLastSave="0" documentId="13_ncr:1_{5D50B57D-284E-5E4E-B614-9246DC6AA54E}" xr6:coauthVersionLast="47" xr6:coauthVersionMax="47" xr10:uidLastSave="{00000000-0000-0000-0000-000000000000}"/>
  <bookViews>
    <workbookView xWindow="0" yWindow="0" windowWidth="38400" windowHeight="21600" xr2:uid="{00000000-000D-0000-FFFF-FFFF00000000}"/>
  </bookViews>
  <sheets>
    <sheet name=" OBRA" sheetId="4" r:id="rId1"/>
    <sheet name=" INTER" sheetId="5" r:id="rId2"/>
    <sheet name="APOYO" sheetId="6" r:id="rId3"/>
  </sheets>
  <externalReferences>
    <externalReference r:id="rId4"/>
  </externalReferences>
  <definedNames>
    <definedName name="_Hlk503022650" localSheetId="1">' INTER'!$A$65</definedName>
    <definedName name="_Hlk503022650" localSheetId="0">' OBRA'!$A$84</definedName>
    <definedName name="_Hlk503022650" localSheetId="2">APOYO!$A$64</definedName>
    <definedName name="_Hlk503023104" localSheetId="1">' INTER'!$Y$31</definedName>
    <definedName name="_Hlk503023104" localSheetId="0">' OBRA'!$Y$34</definedName>
    <definedName name="_Hlk503023104" localSheetId="2">APOYO!$Y$30</definedName>
    <definedName name="_xlnm.Print_Area" localSheetId="1">' INTER'!$A$1:$AD$88</definedName>
    <definedName name="_xlnm.Print_Area" localSheetId="0">' OBRA'!$A$1:$AD$106</definedName>
    <definedName name="_xlnm.Print_Area" localSheetId="2">APOYO!$A$1:$AD$86</definedName>
    <definedName name="ASDFASDF" localSheetId="1">#REF!</definedName>
    <definedName name="ASDFASDF" localSheetId="0">#REF!</definedName>
    <definedName name="ASDFASDF" localSheetId="2">#REF!</definedName>
    <definedName name="ASDFASDF">#REF!</definedName>
    <definedName name="Buscar" localSheetId="1">#REF!</definedName>
    <definedName name="Buscar" localSheetId="0">#REF!</definedName>
    <definedName name="Buscar" localSheetId="2">#REF!</definedName>
    <definedName name="Buscar">#REF!</definedName>
    <definedName name="PP">#REF!</definedName>
    <definedName name="TITULARIDAD" localSheetId="1">#REF!</definedName>
    <definedName name="TITULARIDAD" localSheetId="0">#REF!</definedName>
    <definedName name="TITULARIDAD" localSheetId="2">#REF!</definedName>
    <definedName name="TITULARIDAD">#REF!</definedName>
    <definedName name="_xlnm.Print_Titles" localSheetId="1">' INTER'!$1:$3</definedName>
    <definedName name="_xlnm.Print_Titles" localSheetId="0">' OBRA'!$1:$3</definedName>
    <definedName name="_xlnm.Print_Titles" localSheetId="2">APOYO!$1:$3</definedName>
    <definedName name="unidades">[1]Listado!$AI$2:$AI$85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6" i="4" l="1"/>
  <c r="AA52" i="4"/>
  <c r="K60" i="5"/>
  <c r="K59" i="5"/>
  <c r="K58" i="5"/>
  <c r="K57" i="5"/>
  <c r="K61" i="5" s="1"/>
  <c r="Z57" i="5"/>
  <c r="Z58" i="5"/>
  <c r="Z59" i="5"/>
  <c r="Z60" i="5"/>
  <c r="E61" i="5"/>
  <c r="G61" i="5"/>
  <c r="Z61" i="5"/>
  <c r="I79" i="4"/>
  <c r="K78" i="4"/>
  <c r="K77" i="4"/>
  <c r="K76" i="4"/>
  <c r="K75" i="4"/>
  <c r="AA51" i="4"/>
  <c r="AA50" i="4"/>
  <c r="AA49" i="4"/>
  <c r="AA48" i="4"/>
  <c r="AA47" i="4"/>
  <c r="AA46" i="4"/>
  <c r="AA45" i="4"/>
  <c r="AA44" i="4"/>
  <c r="AA43" i="4"/>
  <c r="AA42" i="4"/>
  <c r="Z59" i="6"/>
  <c r="K59" i="6"/>
  <c r="G59" i="6"/>
  <c r="E59" i="6"/>
  <c r="Z58" i="6"/>
  <c r="Z57" i="6"/>
  <c r="Z56" i="6"/>
  <c r="Z55" i="6"/>
  <c r="AA38" i="4"/>
  <c r="G79" i="4"/>
  <c r="E79" i="4"/>
  <c r="K79" i="4" l="1"/>
  <c r="AA41" i="4"/>
  <c r="AA40" i="4"/>
  <c r="AA33" i="6"/>
  <c r="T37" i="6" s="1"/>
  <c r="AA34" i="5"/>
  <c r="T39" i="5" s="1"/>
  <c r="AA39" i="4" l="1"/>
  <c r="AA37" i="4" l="1"/>
  <c r="Y79" i="4" l="1"/>
  <c r="V79" i="4"/>
  <c r="T79" i="4"/>
  <c r="R79" i="4"/>
  <c r="P79" i="4"/>
  <c r="N79" i="4"/>
  <c r="Z78" i="4"/>
  <c r="Z77" i="4"/>
  <c r="Z76" i="4"/>
  <c r="Z75" i="4"/>
  <c r="Z79" i="4" l="1"/>
</calcChain>
</file>

<file path=xl/sharedStrings.xml><?xml version="1.0" encoding="utf-8"?>
<sst xmlns="http://schemas.openxmlformats.org/spreadsheetml/2006/main" count="388" uniqueCount="118">
  <si>
    <t>Teléfono</t>
  </si>
  <si>
    <t>Correo</t>
  </si>
  <si>
    <t>Cargo</t>
  </si>
  <si>
    <t xml:space="preserve">Nombre </t>
  </si>
  <si>
    <t>Firma de quien elaboró</t>
  </si>
  <si>
    <t>Firma Ordenador del gasto</t>
  </si>
  <si>
    <t>Cordialmente,</t>
  </si>
  <si>
    <t>15. OBSERVACIONES</t>
  </si>
  <si>
    <t>14. DESCRIPCIÓN DEL ESTUDIO DE PRECIOS DE MERCADO</t>
  </si>
  <si>
    <t>13. CORRESPONDENCIA ENTRE LAS ACTIVIDADES Y EL MARCO LEGAL</t>
  </si>
  <si>
    <t>12. PERTINENCIA DEL OBJETO DEL GASTO CON LAS ACTIVIDADES DEL PROYECTO</t>
  </si>
  <si>
    <t xml:space="preserve">CRITERIOS DE VIABILIDAD TÉCNICA, LEGAL Y ECONÓMICA: </t>
  </si>
  <si>
    <t>sumatoria</t>
  </si>
  <si>
    <t>subtotal</t>
  </si>
  <si>
    <t>otro</t>
  </si>
  <si>
    <t>pobreza extrema</t>
  </si>
  <si>
    <t>indígena</t>
  </si>
  <si>
    <t>afro</t>
  </si>
  <si>
    <t>discapacidad</t>
  </si>
  <si>
    <t>victima</t>
  </si>
  <si>
    <t>Subtotal</t>
  </si>
  <si>
    <t>LGTBI</t>
  </si>
  <si>
    <t>Mujeres</t>
  </si>
  <si>
    <t>Hombres</t>
  </si>
  <si>
    <t>Periodo de Vida</t>
  </si>
  <si>
    <t>11. BENEFICIARIOS DE LA INVERSIÓN CON ENFOQUE DIFERENCIAL</t>
  </si>
  <si>
    <t>Nota: Comunidades Negras, Afrocolombianas, Raizales y Palanqueras (NARP)</t>
  </si>
  <si>
    <t>X</t>
  </si>
  <si>
    <t>NO APLICA</t>
  </si>
  <si>
    <t>EQUIDAD DE LA MUJER</t>
  </si>
  <si>
    <t>INDIGENAS</t>
  </si>
  <si>
    <t>N.A.R.P</t>
  </si>
  <si>
    <t>COMUNIDADES</t>
  </si>
  <si>
    <t xml:space="preserve">10. MARCADOR TRAZADOR PRESUPUESTAL </t>
  </si>
  <si>
    <t>9. Otros resultados (cuantitativo y cualitativo)</t>
  </si>
  <si>
    <t>Urbanos</t>
  </si>
  <si>
    <t>8. Descripcion de Beneficiarios</t>
  </si>
  <si>
    <t>Rurales</t>
  </si>
  <si>
    <t>7.Total Beneficiarios</t>
  </si>
  <si>
    <t>Resultados a obtener al ejecutar el objeto del gasto</t>
  </si>
  <si>
    <t>6. Valor Total que se solicita certificar</t>
  </si>
  <si>
    <t>5. OBJETO DEL GASTO</t>
  </si>
  <si>
    <t>NOMBRE</t>
  </si>
  <si>
    <t>COD</t>
  </si>
  <si>
    <t>RECURSOS APROBADOS ACTIVIDAD</t>
  </si>
  <si>
    <t>ACTIVIDAD</t>
  </si>
  <si>
    <t>PRODUCTO</t>
  </si>
  <si>
    <t>4. VALOR A CERTIFICAR DEL PLAN DE INVERSIÓN</t>
  </si>
  <si>
    <t>META PLAN DESARROLLO</t>
  </si>
  <si>
    <t>FUENTE FINANCIAC.</t>
  </si>
  <si>
    <t>CADENA DE VALOR DEL PROYECTO</t>
  </si>
  <si>
    <t>3. LINEA DEL PLAN DE INVERSIÓN DEL CUAL SE SOLICITA LA CERTIFICACIÓN</t>
  </si>
  <si>
    <t>Código dependencia</t>
  </si>
  <si>
    <t>2. DEPENDENCIA SOLICITANTE</t>
  </si>
  <si>
    <t>No. Registro. (BPIN)</t>
  </si>
  <si>
    <t>1.PROYECTO</t>
  </si>
  <si>
    <t>Me permito solicitar la expedición de certificado de banco de Programas y proyectos  para ejecución de recursos de acuerdo a la siguiente información</t>
  </si>
  <si>
    <t>Cordial Saludo,</t>
  </si>
  <si>
    <t>de recursos</t>
  </si>
  <si>
    <t xml:space="preserve">ASUNTO:  Solicitud de Certificado de Banco de Programas y Proyectos de inversion Departamental para ejecución </t>
  </si>
  <si>
    <t>Gobernación del Meta</t>
  </si>
  <si>
    <t>07</t>
  </si>
  <si>
    <t>VERSIÓN</t>
  </si>
  <si>
    <t>F-BS-01</t>
  </si>
  <si>
    <t>CÓDIGO</t>
  </si>
  <si>
    <t>SOLICITUD CERTIFICADO DEL BANCO DE PROGRAMAS Y PROYECTOS DE INVERSIÓN PARA EJECUCIÓN DE RECURSOS</t>
  </si>
  <si>
    <t>Gerente de Inversión Pública y Banco de Proyectos</t>
  </si>
  <si>
    <t>Doctora</t>
  </si>
  <si>
    <t>JEIMMY LISSED MOLANO MORENO</t>
  </si>
  <si>
    <t>REALIZAR INTERVENTORIA</t>
  </si>
  <si>
    <t>VIGENCIA  2027 - 2028</t>
  </si>
  <si>
    <t>AGENCIA PARA LA INFRAESTRUCTURA DEL META</t>
  </si>
  <si>
    <t>VIGENCIA  2025-2026</t>
  </si>
  <si>
    <t>Población municipal por sexo y grupos de edad, por área cabecera municipal, centros poblados y rural disperso.</t>
  </si>
  <si>
    <t>Los costos del PROYECTO se presentan descompuestos por las actividades necesarias para el cumplimiento del objetivo central y la gerencia de proyectos de Infraestructura. Se programan los recursos necesarios para el cumplimiento de las Metas del Plan de Desarrollo Económico y Social Departamental según las directrices presupuestales del Plan Plurianual de Inversiones.
La Entidad calculó y soporta sus cálculos de presupuesto en el listado de los precios unitarios el cual corresponden al promedio de la región mediante la Resolucion N° 100-37-021 de 2025</t>
  </si>
  <si>
    <t>SERGIO IVAN MUÑOZ YAÑEZ</t>
  </si>
  <si>
    <t>Gerente AIM</t>
  </si>
  <si>
    <t>gerencia@aim-meta.gov.co</t>
  </si>
  <si>
    <t>300 6929900</t>
  </si>
  <si>
    <t>FERNANDO FAJARDO ALVAREZ</t>
  </si>
  <si>
    <t xml:space="preserve">Director de Estructuración de Proyectos </t>
  </si>
  <si>
    <t>proyectos@aim-meta.gov.co</t>
  </si>
  <si>
    <t>318 4316186</t>
  </si>
  <si>
    <t xml:space="preserve">REALIZAR APOYO A LA GESTION Y SEGUIMIENTO/ APOYO A LA SUPERVISION </t>
  </si>
  <si>
    <t>El proyecto se desarrollará para el cumplimiento del Plan de Desarrollo Económico y Social Departamental “Gobierno de la Unidad” para el periodo 2024 – 2027.</t>
  </si>
  <si>
    <t>0 a 14 años</t>
  </si>
  <si>
    <t>15 a 19 aos</t>
  </si>
  <si>
    <t>20 a 59 años</t>
  </si>
  <si>
    <t>mayor de 60 años</t>
  </si>
  <si>
    <t>Villavicencio, 09 de julio de 2026</t>
  </si>
  <si>
    <t>202600000013328 - PIIP</t>
  </si>
  <si>
    <t>Mejoramiento y adecuación de polideportivo en el barrio villa margarita en el municipio de  Fuente De Oro, Meta</t>
  </si>
  <si>
    <t>REALIZAR PRELIMINARES</t>
  </si>
  <si>
    <t>REALIZAR DESMONTE Y DEMOLICIONES</t>
  </si>
  <si>
    <t>REALIZAR EXCAVACIONES</t>
  </si>
  <si>
    <t>REALIZAR RELLENOS</t>
  </si>
  <si>
    <t>REALIZAR CONCRETOS</t>
  </si>
  <si>
    <t>REALIZAR PISOS</t>
  </si>
  <si>
    <t>REALIZAR PINTURA</t>
  </si>
  <si>
    <t> RELIZAR MAMPOSTERIA</t>
  </si>
  <si>
    <t>REALIZAR ACERO FIGURADO</t>
  </si>
  <si>
    <t>REALIZAR ESTRUCTURAS METALICAS</t>
  </si>
  <si>
    <t>REALIZAR MALLA CONTRAPELOTAS</t>
  </si>
  <si>
    <t>REALIZAR CUBIERTA</t>
  </si>
  <si>
    <t>REALIZAR MOBILIARIO</t>
  </si>
  <si>
    <t>ELAIZAR INSTALACIONES SANITARIAS</t>
  </si>
  <si>
    <t xml:space="preserve"> REALIZAR INSTALACIONES ELECTRICAS</t>
  </si>
  <si>
    <t>Parques recreativos adecuados</t>
  </si>
  <si>
    <t>Total poblacion 12.962</t>
  </si>
  <si>
    <t>Los procesos de contratación y los contratos para suscribir, como resultado de este estarán sometidos a la legislación y jurisdicción colombiana rigiéndose por las siguientes normas: Ley 1150 de 2007 y del Decreto 1082 de 2015 y demás normas que la complementen, modifiquen o reglamenten, y por las normas civiles y comerciales que regulen el proceso de contratación.
Conforme a lo establecido en el literal h) del numeral 4 del art. 2 ley 1150 y en el Decreto 1082 de 2015 para la prestación de servicios profesionales y de apoyo a la gestión, la entidad estatal podrá contratar directamente con la persona natural o jurídica que esté en capacidad de ejecutar el objeto del contrato y que haya demostrado la idoneidad y experiencia directamente relacionada con el área de que se trate, sin que sea necesario que haya obtenido previamente varias ofertas, de lo cual el ordenador del gasto deberá dejar constancia escrita.
La Agencia para la Infraestructura del Meta ejecutará la obra en concordancia con los lineamientos establecidos en el Plan de Desarrollo del Departamento del Meta 2024–2027 “Gobierno de la Unidad”. El proyecto se enmarca en el PILAR DE GOBIERNO No. 4 DESARROLLO SOCIAL PARA LA UNIDAD DEL META 4.1.10 LÍNEA ESTRATÉGICA DEPORTE, RECREACIÓN, HÁBITOS Y ESTILOS DE VIDA SALUDABLE Y EDUCACIÓN FÍSICA PARA EL META 4.1.10.1 PROGRAMA FOMENTO DEL DEPORTE, LA RECREACIÓN, HÁBITOS Y ESTILOS DE VIDA SALUDABLES Y EDUCACIÓN FÍSICA  Meta: Adecuar, mantener y/o rehabilitar 40 infraestructuras recreodeportivas.</t>
  </si>
  <si>
    <t>Los procesos de contratación y los contratos para suscribir, como resultado de este estarán sometidos a la legislación y jurisdicción colombiana rigiéndose por las siguientes normas: Ley 1150 de 2007 y del Decreto 1082 de 2015 y demás normas que la complementen, modifiquen o reglamenten, y por las normas civiles y comerciales que regulen el proceso de contratación.
Conforme a lo establecido en el literal h) del numeral 4 del art. 2 ley 1150 y en el Decreto 1082 de 2015 para la prestación de servicios profesionales y de apoyo a la gestión, la entidad estatal podrá contratar directamente con la persona natural o jurídica que esté en capacidad de ejecutar el objeto del contrato y que haya demostrado la idoneidad y experiencia directamente relacionada con el área de que se trate, sin que sea necesario que haya obtenido previamente varias ofertas, de lo cual el ordenador del gasto deberá dejar constancia escrita.
La Agencia para la Infraestructura del Meta ejecutará la obra en concordancia con los lineamientos establecidos en el Plan de Desarrollo del Departamento del Meta 2024–2027 “Gobierno de la Unidad”. El proyecto se enmarca en el  PILAR DE GOBIERNO No. 4 DESARROLLO SOCIAL PARA LA UNIDAD DEL META 4.1.10 LÍNEA ESTRATÉGICA DEPORTE, RECREACIÓN, HÁBITOS Y ESTILOS DE VIDA SALUDABLE Y EDUCACIÓN FÍSICA PARA EL META 4.1.10.1 PROGRAMA FOMENTO DEL DEPORTE, LA RECREACIÓN, HÁBITOS Y ESTILOS DE VIDA SALUDABLES Y EDUCACIÓN FÍSICA  Meta: Adecuar, mantener y/o rehabilitar 40 infraestructuras recreodeportivas.</t>
  </si>
  <si>
    <t>Adecuar, mantener y/o rehabilitar 40 infraestructuras recreo-deportivos</t>
  </si>
  <si>
    <t>Obra de Mejoramiento y adecuación de polideportivo en el barrio villa margarita en el municipio de Fuente De Oro, Meta</t>
  </si>
  <si>
    <t>04RB</t>
  </si>
  <si>
    <t>Recursos del Balance Estampilla Prodesarrollo</t>
  </si>
  <si>
    <t>BIENES O SERVICIOS ADICIONALES A LA OBRA PÚBLICA</t>
  </si>
  <si>
    <t>Realizar apoyo a la gestión, seguimiento y apoyo a la supervisión de la Interventoría técnica, administrativa, financiera, contable y jurídica del mejoramiento y adecuación de polideportivo en el barrio villa margarita en el municipio de Fuente De Oro, Meta</t>
  </si>
  <si>
    <t>Interventoría técnica, administrativa, financiera, contable, y jurídica del Mejoramiento y adecuación de polideportivo en el barrio villa margarita en el municipio de Fuente De Oro, Meta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</si>
</sst>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quot;$&quot;\ * #,##0.00_-;\-&quot;$&quot;\ * #,##0.00_-;_-&quot;$&quot;\ * &quot;-&quot;??_-;_-@_-"/>
    <numFmt numFmtId="164" formatCode="_-&quot;$&quot;* #,##0_-;\-&quot;$&quot;* #,##0_-;_-&quot;$&quot;* &quot;-&quot;_-;_-@_-"/>
    <numFmt numFmtId="165" formatCode="_(&quot;$&quot;\ * #,##0.00_);_(&quot;$&quot;\ * \(#,##0.00\);_(&quot;$&quot;\ * &quot;-&quot;??_);_(@_)"/>
    <numFmt numFmtId="166" formatCode="_-&quot;$&quot;\ * #,##0.00_-;\-&quot;$&quot;\ * #,##0.00_-;_-&quot;$&quot;\ * &quot;-&quot;_-;_-@_-"/>
    <numFmt numFmtId="167" formatCode="_-&quot;$&quot;* #,##0.00_-;\-&quot;$&quot;* #,##0.00_-;_-&quot;$&quot;* &quot;-&quot;??_-;_-@_-"/>
    <numFmt numFmtId="168" formatCode="#,##0.00_ ;\-#,##0.00\ "/>
  </numFmts>
  <fonts count="25" x14ac:knownFonts="1">
    <font>
      <sz val="11"/>
      <color theme="1"/>
      <name val="Calibri"/>
      <family val="2"/>
      <scheme val="minor"/>
    </font>
    <font>
      <sz val="12"/>
      <color theme="1"/>
      <name val="Arial"/>
      <family val="2"/>
    </font>
    <font>
      <sz val="10"/>
      <color rgb="FF2F5496"/>
      <name val="Arial"/>
      <family val="2"/>
    </font>
    <font>
      <sz val="11"/>
      <color rgb="FF2F5496"/>
      <name val="Arial"/>
      <family val="2"/>
    </font>
    <font>
      <u/>
      <sz val="11"/>
      <color theme="10"/>
      <name val="Calibri"/>
      <family val="2"/>
    </font>
    <font>
      <sz val="10"/>
      <color theme="1"/>
      <name val="Arial"/>
      <family val="2"/>
    </font>
    <font>
      <b/>
      <sz val="12"/>
      <color theme="1"/>
      <name val="Arial"/>
      <family val="2"/>
    </font>
    <font>
      <sz val="8"/>
      <color rgb="FF2F5496"/>
      <name val="Arial"/>
      <family val="2"/>
    </font>
    <font>
      <sz val="9"/>
      <color theme="1"/>
      <name val="Arial"/>
      <family val="2"/>
    </font>
    <font>
      <b/>
      <sz val="11"/>
      <color theme="1"/>
      <name val="Arial"/>
      <family val="2"/>
    </font>
    <font>
      <sz val="11"/>
      <color theme="1"/>
      <name val="Arial"/>
      <family val="2"/>
    </font>
    <font>
      <b/>
      <sz val="10"/>
      <color theme="1"/>
      <name val="Arial"/>
      <family val="2"/>
    </font>
    <font>
      <sz val="8"/>
      <color theme="1"/>
      <name val="Arial"/>
      <family val="2"/>
    </font>
    <font>
      <sz val="8"/>
      <color rgb="FF000000"/>
      <name val="Arial"/>
      <family val="2"/>
    </font>
    <font>
      <b/>
      <sz val="10"/>
      <color rgb="FF2F5496"/>
      <name val="Arial"/>
      <family val="2"/>
    </font>
    <font>
      <sz val="9"/>
      <color rgb="FF2F5496"/>
      <name val="Arial"/>
      <family val="2"/>
    </font>
    <font>
      <b/>
      <sz val="8"/>
      <color rgb="FF2F5496"/>
      <name val="Arial"/>
      <family val="2"/>
    </font>
    <font>
      <b/>
      <sz val="9"/>
      <color theme="1"/>
      <name val="Arial"/>
      <family val="2"/>
    </font>
    <font>
      <sz val="12"/>
      <name val="Arial"/>
      <family val="2"/>
    </font>
    <font>
      <b/>
      <sz val="12"/>
      <name val="Arial"/>
      <family val="2"/>
    </font>
    <font>
      <sz val="11"/>
      <color theme="1"/>
      <name val="Calibri"/>
      <family val="2"/>
      <scheme val="minor"/>
    </font>
    <font>
      <sz val="8"/>
      <name val="Arial"/>
      <family val="2"/>
    </font>
    <font>
      <sz val="12"/>
      <color theme="0"/>
      <name val="Arial"/>
      <family val="2"/>
    </font>
    <font>
      <b/>
      <sz val="8"/>
      <color rgb="FF000000"/>
      <name val="Arial"/>
      <family val="2"/>
    </font>
    <font>
      <sz val="11"/>
      <name val="Arial"/>
      <family val="2"/>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0" fillId="0" borderId="0"/>
    <xf numFmtId="0" fontId="4" fillId="0" borderId="0" applyNumberFormat="0" applyFill="0" applyBorder="0" applyAlignment="0" applyProtection="0">
      <alignment vertical="top"/>
      <protection locked="0"/>
    </xf>
    <xf numFmtId="164" fontId="20" fillId="0" borderId="0" applyFont="0" applyFill="0" applyBorder="0" applyAlignment="0" applyProtection="0"/>
    <xf numFmtId="0" fontId="10" fillId="0" borderId="0"/>
    <xf numFmtId="167" fontId="20" fillId="0" borderId="0" applyFont="0" applyFill="0" applyBorder="0" applyAlignment="0" applyProtection="0"/>
    <xf numFmtId="44" fontId="20" fillId="0" borderId="0" applyFont="0" applyFill="0" applyBorder="0" applyAlignment="0" applyProtection="0"/>
  </cellStyleXfs>
  <cellXfs count="216">
    <xf numFmtId="0" fontId="0" fillId="0" borderId="0" xfId="0"/>
    <xf numFmtId="0" fontId="1" fillId="0" borderId="0" xfId="0" applyFont="1"/>
    <xf numFmtId="9" fontId="0" fillId="0" borderId="0" xfId="0" applyNumberFormat="1"/>
    <xf numFmtId="49" fontId="0" fillId="0" borderId="0" xfId="0" applyNumberFormat="1"/>
    <xf numFmtId="39" fontId="1" fillId="0" borderId="0" xfId="0" applyNumberFormat="1" applyFont="1" applyAlignment="1">
      <alignment horizontal="center" vertical="center"/>
    </xf>
    <xf numFmtId="44" fontId="12" fillId="0" borderId="0" xfId="0" applyNumberFormat="1" applyFont="1"/>
    <xf numFmtId="44" fontId="8" fillId="0" borderId="0" xfId="0" applyNumberFormat="1" applyFont="1"/>
    <xf numFmtId="0" fontId="1" fillId="0" borderId="0" xfId="0" applyFont="1" applyAlignment="1">
      <alignment wrapText="1"/>
    </xf>
    <xf numFmtId="168" fontId="1" fillId="0" borderId="0" xfId="0" applyNumberFormat="1" applyFont="1"/>
    <xf numFmtId="0" fontId="8" fillId="2" borderId="0" xfId="0" applyFont="1" applyFill="1" applyAlignment="1">
      <alignment horizontal="justify" vertical="justify" wrapText="1"/>
    </xf>
    <xf numFmtId="0" fontId="1" fillId="2" borderId="0" xfId="0" applyFont="1" applyFill="1"/>
    <xf numFmtId="0" fontId="7" fillId="2" borderId="0" xfId="0" applyFont="1" applyFill="1"/>
    <xf numFmtId="0" fontId="0" fillId="2" borderId="0" xfId="0" applyFill="1"/>
    <xf numFmtId="0" fontId="12" fillId="2" borderId="0" xfId="0" applyFont="1" applyFill="1"/>
    <xf numFmtId="0" fontId="18" fillId="2" borderId="0" xfId="0" applyFont="1" applyFill="1"/>
    <xf numFmtId="0" fontId="19" fillId="2" borderId="0" xfId="0" applyFont="1" applyFill="1" applyAlignment="1">
      <alignment vertical="top"/>
    </xf>
    <xf numFmtId="0" fontId="18" fillId="2" borderId="0" xfId="0" applyFont="1" applyFill="1" applyAlignment="1">
      <alignment vertical="top"/>
    </xf>
    <xf numFmtId="0" fontId="18" fillId="2" borderId="0" xfId="0" applyFont="1" applyFill="1" applyAlignment="1">
      <alignment vertical="top" wrapText="1"/>
    </xf>
    <xf numFmtId="0" fontId="18" fillId="2" borderId="0" xfId="0" applyFont="1" applyFill="1" applyAlignment="1">
      <alignment horizontal="left" vertical="top" wrapText="1"/>
    </xf>
    <xf numFmtId="0" fontId="5" fillId="2" borderId="12" xfId="0" applyFont="1" applyFill="1" applyBorder="1" applyAlignment="1">
      <alignment wrapText="1"/>
    </xf>
    <xf numFmtId="0" fontId="1" fillId="2" borderId="4" xfId="0" applyFont="1" applyFill="1" applyBorder="1"/>
    <xf numFmtId="0" fontId="1" fillId="2" borderId="3" xfId="0" applyFont="1" applyFill="1" applyBorder="1"/>
    <xf numFmtId="0" fontId="6" fillId="2" borderId="0" xfId="0" applyFont="1" applyFill="1" applyAlignment="1">
      <alignment horizontal="left"/>
    </xf>
    <xf numFmtId="0" fontId="1" fillId="2" borderId="18" xfId="0" applyFont="1" applyFill="1" applyBorder="1" applyAlignment="1">
      <alignment horizontal="center" vertical="center"/>
    </xf>
    <xf numFmtId="0" fontId="14" fillId="2" borderId="17" xfId="0" applyFont="1" applyFill="1" applyBorder="1" applyAlignment="1">
      <alignment horizontal="center" vertical="center" wrapText="1"/>
    </xf>
    <xf numFmtId="0" fontId="11" fillId="2" borderId="14" xfId="0" applyFont="1" applyFill="1" applyBorder="1"/>
    <xf numFmtId="0" fontId="1" fillId="2" borderId="12" xfId="0" applyFont="1" applyFill="1" applyBorder="1"/>
    <xf numFmtId="0" fontId="12" fillId="2" borderId="12" xfId="0" applyFont="1" applyFill="1" applyBorder="1"/>
    <xf numFmtId="0" fontId="11" fillId="2" borderId="12" xfId="0" applyFont="1" applyFill="1" applyBorder="1"/>
    <xf numFmtId="0" fontId="1" fillId="2" borderId="13" xfId="0" applyFont="1" applyFill="1" applyBorder="1"/>
    <xf numFmtId="0" fontId="1" fillId="2" borderId="11" xfId="0" applyFont="1" applyFill="1" applyBorder="1"/>
    <xf numFmtId="0" fontId="1" fillId="2" borderId="9" xfId="0" applyFont="1" applyFill="1" applyBorder="1"/>
    <xf numFmtId="0" fontId="1" fillId="2" borderId="0" xfId="0" applyFont="1" applyFill="1" applyAlignment="1">
      <alignment horizontal="center" vertical="center" wrapText="1"/>
    </xf>
    <xf numFmtId="0" fontId="1" fillId="2" borderId="0" xfId="0" applyFont="1" applyFill="1" applyAlignment="1">
      <alignment horizontal="center"/>
    </xf>
    <xf numFmtId="0" fontId="9" fillId="2" borderId="5" xfId="0" applyFont="1" applyFill="1" applyBorder="1" applyAlignment="1">
      <alignment vertical="center" wrapText="1"/>
    </xf>
    <xf numFmtId="0" fontId="1" fillId="2" borderId="5" xfId="0" applyFont="1" applyFill="1" applyBorder="1" applyAlignment="1">
      <alignment horizontal="center"/>
    </xf>
    <xf numFmtId="0" fontId="9" fillId="2" borderId="0" xfId="0" applyFont="1" applyFill="1" applyAlignment="1">
      <alignment horizontal="center" vertical="center" wrapText="1"/>
    </xf>
    <xf numFmtId="0" fontId="9" fillId="2" borderId="0" xfId="0" applyFont="1" applyFill="1" applyAlignment="1">
      <alignment vertical="center" wrapText="1"/>
    </xf>
    <xf numFmtId="0" fontId="22" fillId="2" borderId="0" xfId="0" applyFont="1" applyFill="1"/>
    <xf numFmtId="0" fontId="5" fillId="2" borderId="1" xfId="0" applyFont="1" applyFill="1" applyBorder="1"/>
    <xf numFmtId="1" fontId="1" fillId="2" borderId="0" xfId="0" applyNumberFormat="1" applyFont="1" applyFill="1"/>
    <xf numFmtId="0" fontId="9" fillId="2" borderId="0" xfId="0" applyFont="1" applyFill="1" applyAlignment="1">
      <alignment horizontal="left"/>
    </xf>
    <xf numFmtId="0" fontId="11" fillId="2" borderId="0" xfId="0" applyFont="1" applyFill="1"/>
    <xf numFmtId="0" fontId="1" fillId="2" borderId="10" xfId="0" applyFont="1" applyFill="1" applyBorder="1"/>
    <xf numFmtId="0" fontId="1" fillId="2" borderId="15" xfId="0" applyFont="1" applyFill="1" applyBorder="1"/>
    <xf numFmtId="0" fontId="5" fillId="2" borderId="0" xfId="0" applyFont="1" applyFill="1" applyAlignment="1">
      <alignment vertical="center" wrapText="1"/>
    </xf>
    <xf numFmtId="0" fontId="12" fillId="2" borderId="1" xfId="0" applyFont="1" applyFill="1" applyBorder="1" applyAlignment="1">
      <alignment horizontal="center" vertical="center" wrapText="1"/>
    </xf>
    <xf numFmtId="0" fontId="23" fillId="2" borderId="1" xfId="0" applyFont="1" applyFill="1" applyBorder="1" applyAlignment="1">
      <alignment vertical="center" wrapText="1"/>
    </xf>
    <xf numFmtId="44" fontId="1" fillId="2" borderId="0" xfId="0" applyNumberFormat="1" applyFont="1" applyFill="1" applyAlignment="1">
      <alignment horizontal="center"/>
    </xf>
    <xf numFmtId="0" fontId="23" fillId="2" borderId="4" xfId="0" applyFont="1" applyFill="1" applyBorder="1" applyAlignment="1">
      <alignment horizontal="left" vertical="center" wrapText="1"/>
    </xf>
    <xf numFmtId="0" fontId="23" fillId="2" borderId="3" xfId="0" applyFont="1" applyFill="1" applyBorder="1" applyAlignment="1">
      <alignment horizontal="left" vertical="center" wrapText="1"/>
    </xf>
    <xf numFmtId="0" fontId="23" fillId="2" borderId="2" xfId="0" applyFont="1" applyFill="1" applyBorder="1" applyAlignment="1">
      <alignment horizontal="left" vertical="center" wrapText="1"/>
    </xf>
    <xf numFmtId="166" fontId="21" fillId="2" borderId="4" xfId="2" applyNumberFormat="1" applyFont="1" applyFill="1" applyBorder="1" applyAlignment="1">
      <alignment horizontal="center" vertical="center" wrapText="1"/>
    </xf>
    <xf numFmtId="166" fontId="21" fillId="2" borderId="3" xfId="2" applyNumberFormat="1" applyFont="1" applyFill="1" applyBorder="1" applyAlignment="1">
      <alignment horizontal="center" vertical="center" wrapText="1"/>
    </xf>
    <xf numFmtId="166" fontId="21" fillId="2" borderId="2" xfId="2" applyNumberFormat="1" applyFont="1" applyFill="1" applyBorder="1" applyAlignment="1">
      <alignment horizontal="center" vertical="center" wrapText="1"/>
    </xf>
    <xf numFmtId="0" fontId="1" fillId="2" borderId="12" xfId="0" applyFont="1" applyFill="1" applyBorder="1" applyAlignment="1">
      <alignment horizontal="center"/>
    </xf>
    <xf numFmtId="0" fontId="1" fillId="2" borderId="1" xfId="0" applyFont="1" applyFill="1" applyBorder="1" applyAlignment="1">
      <alignment horizontal="center"/>
    </xf>
    <xf numFmtId="0" fontId="6" fillId="2" borderId="1" xfId="0" applyFont="1" applyFill="1" applyBorder="1" applyAlignment="1">
      <alignment horizontal="center" vertical="center" wrapText="1"/>
    </xf>
    <xf numFmtId="0" fontId="6" fillId="2" borderId="4" xfId="0" applyFont="1" applyFill="1" applyBorder="1" applyAlignment="1">
      <alignment horizontal="center"/>
    </xf>
    <xf numFmtId="0" fontId="6" fillId="2" borderId="3" xfId="0" applyFont="1" applyFill="1" applyBorder="1" applyAlignment="1">
      <alignment horizontal="center"/>
    </xf>
    <xf numFmtId="0" fontId="6" fillId="2" borderId="2" xfId="0" applyFont="1" applyFill="1" applyBorder="1" applyAlignment="1">
      <alignment horizontal="center"/>
    </xf>
    <xf numFmtId="49" fontId="6" fillId="2" borderId="1" xfId="0" applyNumberFormat="1" applyFont="1" applyFill="1" applyBorder="1" applyAlignment="1">
      <alignment horizontal="left"/>
    </xf>
    <xf numFmtId="0" fontId="5" fillId="2" borderId="12" xfId="0" applyFont="1" applyFill="1" applyBorder="1" applyAlignment="1">
      <alignment horizontal="justify" wrapText="1"/>
    </xf>
    <xf numFmtId="0" fontId="17" fillId="2" borderId="1" xfId="0" applyFont="1" applyFill="1" applyBorder="1" applyAlignment="1">
      <alignment horizontal="center"/>
    </xf>
    <xf numFmtId="0" fontId="5" fillId="2" borderId="4" xfId="0" applyFont="1" applyFill="1" applyBorder="1" applyAlignment="1">
      <alignment horizontal="center" vertical="justify" wrapText="1"/>
    </xf>
    <xf numFmtId="0" fontId="5" fillId="2" borderId="3" xfId="0" applyFont="1" applyFill="1" applyBorder="1" applyAlignment="1">
      <alignment horizontal="center" vertical="justify" wrapText="1"/>
    </xf>
    <xf numFmtId="0" fontId="5" fillId="2" borderId="2" xfId="0" applyFont="1" applyFill="1" applyBorder="1" applyAlignment="1">
      <alignment horizontal="center" vertical="justify" wrapText="1"/>
    </xf>
    <xf numFmtId="0" fontId="1" fillId="2" borderId="0" xfId="0" applyFont="1" applyFill="1" applyAlignment="1">
      <alignment horizontal="left" wrapText="1"/>
    </xf>
    <xf numFmtId="0" fontId="6" fillId="2" borderId="14"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5" xfId="0" applyFont="1" applyFill="1" applyBorder="1" applyAlignment="1">
      <alignment horizontal="center" vertic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1" fontId="12" fillId="0" borderId="4" xfId="0" applyNumberFormat="1" applyFont="1" applyBorder="1" applyAlignment="1">
      <alignment horizontal="center" vertical="center" wrapText="1"/>
    </xf>
    <xf numFmtId="1" fontId="12" fillId="0" borderId="3" xfId="0" applyNumberFormat="1" applyFont="1" applyBorder="1" applyAlignment="1">
      <alignment horizontal="center" vertical="center" wrapText="1"/>
    </xf>
    <xf numFmtId="1" fontId="12" fillId="0" borderId="2"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165" fontId="8" fillId="2" borderId="4" xfId="0" applyNumberFormat="1" applyFont="1" applyFill="1" applyBorder="1" applyAlignment="1">
      <alignment horizontal="center" vertical="center"/>
    </xf>
    <xf numFmtId="165" fontId="8" fillId="2" borderId="3" xfId="0" applyNumberFormat="1" applyFont="1" applyFill="1" applyBorder="1" applyAlignment="1">
      <alignment horizontal="center" vertical="center"/>
    </xf>
    <xf numFmtId="165" fontId="8" fillId="2" borderId="2" xfId="0" applyNumberFormat="1" applyFont="1" applyFill="1" applyBorder="1" applyAlignment="1">
      <alignment horizontal="center" vertical="center"/>
    </xf>
    <xf numFmtId="0" fontId="1" fillId="2" borderId="0" xfId="0" applyFont="1" applyFill="1" applyAlignment="1">
      <alignment horizontal="left" vertical="center" wrapText="1"/>
    </xf>
    <xf numFmtId="0" fontId="9" fillId="2" borderId="8"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8" xfId="0" applyFont="1" applyFill="1" applyBorder="1" applyAlignment="1">
      <alignment horizontal="center"/>
    </xf>
    <xf numFmtId="0" fontId="9" fillId="2" borderId="7" xfId="0" applyFont="1" applyFill="1" applyBorder="1" applyAlignment="1">
      <alignment horizontal="center"/>
    </xf>
    <xf numFmtId="0" fontId="9" fillId="2" borderId="6"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6" fillId="2" borderId="6" xfId="0" applyFont="1" applyFill="1" applyBorder="1" applyAlignment="1">
      <alignment horizontal="center"/>
    </xf>
    <xf numFmtId="3" fontId="5" fillId="2" borderId="4"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wrapText="1"/>
    </xf>
    <xf numFmtId="3" fontId="5" fillId="2" borderId="3" xfId="0" applyNumberFormat="1" applyFont="1" applyFill="1" applyBorder="1" applyAlignment="1">
      <alignment horizontal="center" vertical="center"/>
    </xf>
    <xf numFmtId="3" fontId="5" fillId="2" borderId="2"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6" fillId="2" borderId="0" xfId="0" applyFont="1" applyFill="1" applyAlignment="1">
      <alignment horizontal="left" vertical="center" wrapText="1"/>
    </xf>
    <xf numFmtId="3" fontId="5" fillId="2" borderId="1" xfId="0" applyNumberFormat="1" applyFont="1" applyFill="1" applyBorder="1" applyAlignment="1">
      <alignment horizontal="center"/>
    </xf>
    <xf numFmtId="0" fontId="5" fillId="2" borderId="1" xfId="0" applyFont="1" applyFill="1" applyBorder="1" applyAlignment="1">
      <alignment horizontal="center"/>
    </xf>
    <xf numFmtId="0" fontId="10" fillId="2" borderId="0" xfId="0" applyFont="1" applyFill="1" applyAlignment="1">
      <alignment horizontal="left" vertical="center" wrapText="1"/>
    </xf>
    <xf numFmtId="0" fontId="6" fillId="2" borderId="0" xfId="0" applyFont="1" applyFill="1" applyAlignment="1">
      <alignment horizontal="left"/>
    </xf>
    <xf numFmtId="0" fontId="10" fillId="2" borderId="1" xfId="0" applyFont="1" applyFill="1" applyBorder="1" applyAlignment="1">
      <alignment horizontal="center" vertical="top" wrapText="1"/>
    </xf>
    <xf numFmtId="0" fontId="12" fillId="2" borderId="1" xfId="0" applyFont="1" applyFill="1" applyBorder="1" applyAlignment="1">
      <alignment horizontal="center" vertical="center" wrapText="1"/>
    </xf>
    <xf numFmtId="0" fontId="5" fillId="2" borderId="4" xfId="0" applyFont="1" applyFill="1" applyBorder="1" applyAlignment="1">
      <alignment horizontal="center"/>
    </xf>
    <xf numFmtId="0" fontId="5" fillId="2" borderId="3" xfId="0" applyFont="1" applyFill="1" applyBorder="1" applyAlignment="1">
      <alignment horizontal="center"/>
    </xf>
    <xf numFmtId="0" fontId="5" fillId="2" borderId="2" xfId="0" applyFont="1" applyFill="1" applyBorder="1" applyAlignment="1">
      <alignment horizontal="center"/>
    </xf>
    <xf numFmtId="0" fontId="11" fillId="2" borderId="1" xfId="0" applyFont="1" applyFill="1" applyBorder="1" applyAlignment="1">
      <alignment horizontal="center" vertical="center" wrapText="1"/>
    </xf>
    <xf numFmtId="1" fontId="5" fillId="2" borderId="1" xfId="0" applyNumberFormat="1" applyFont="1" applyFill="1" applyBorder="1" applyAlignment="1">
      <alignment horizontal="center"/>
    </xf>
    <xf numFmtId="0" fontId="3" fillId="2" borderId="1" xfId="0" applyFont="1" applyFill="1" applyBorder="1" applyAlignment="1">
      <alignment horizontal="center" vertical="top" wrapText="1"/>
    </xf>
    <xf numFmtId="0" fontId="1" fillId="2" borderId="19" xfId="0" applyFont="1" applyFill="1" applyBorder="1" applyAlignment="1">
      <alignment horizontal="center"/>
    </xf>
    <xf numFmtId="0" fontId="24" fillId="2" borderId="20" xfId="0" applyFont="1" applyFill="1" applyBorder="1"/>
    <xf numFmtId="0" fontId="24" fillId="2" borderId="21" xfId="0" applyFont="1" applyFill="1" applyBorder="1"/>
    <xf numFmtId="0" fontId="2" fillId="2" borderId="1" xfId="0" applyFont="1" applyFill="1" applyBorder="1" applyAlignment="1">
      <alignment horizontal="center" vertical="top" wrapText="1"/>
    </xf>
    <xf numFmtId="0" fontId="1" fillId="2" borderId="19" xfId="0" applyFont="1" applyFill="1" applyBorder="1" applyAlignment="1">
      <alignment horizontal="center" vertical="center"/>
    </xf>
    <xf numFmtId="0" fontId="1" fillId="2" borderId="19" xfId="0" applyFont="1" applyFill="1" applyBorder="1" applyAlignment="1">
      <alignment horizontal="center" vertical="center" wrapText="1"/>
    </xf>
    <xf numFmtId="0" fontId="18" fillId="2" borderId="20" xfId="0" applyFont="1" applyFill="1" applyBorder="1"/>
    <xf numFmtId="0" fontId="18" fillId="2" borderId="21" xfId="0" applyFont="1" applyFill="1" applyBorder="1"/>
    <xf numFmtId="0" fontId="4" fillId="2" borderId="19" xfId="1" applyFill="1" applyBorder="1" applyAlignment="1" applyProtection="1">
      <alignment horizontal="center"/>
    </xf>
    <xf numFmtId="0" fontId="4" fillId="2" borderId="19" xfId="1" applyFill="1" applyBorder="1" applyAlignment="1" applyProtection="1">
      <alignment horizontal="center" vertical="center"/>
    </xf>
    <xf numFmtId="0" fontId="8" fillId="2" borderId="4"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2" xfId="0" applyFont="1" applyFill="1" applyBorder="1" applyAlignment="1">
      <alignment horizontal="left" vertical="top" wrapText="1"/>
    </xf>
    <xf numFmtId="0" fontId="8" fillId="2" borderId="4" xfId="0" applyFont="1" applyFill="1" applyBorder="1" applyAlignment="1">
      <alignment horizontal="justify" vertical="center" wrapText="1"/>
    </xf>
    <xf numFmtId="0" fontId="8" fillId="2" borderId="3" xfId="0" applyFont="1" applyFill="1" applyBorder="1" applyAlignment="1">
      <alignment horizontal="justify" vertical="center" wrapText="1"/>
    </xf>
    <xf numFmtId="0" fontId="8" fillId="2" borderId="2" xfId="0" applyFont="1" applyFill="1" applyBorder="1" applyAlignment="1">
      <alignment horizontal="justify" vertical="center" wrapText="1"/>
    </xf>
    <xf numFmtId="0" fontId="9" fillId="2" borderId="19" xfId="0" applyFont="1" applyFill="1" applyBorder="1" applyAlignment="1">
      <alignment horizontal="center"/>
    </xf>
    <xf numFmtId="0" fontId="7" fillId="2" borderId="1" xfId="0" applyFont="1" applyFill="1" applyBorder="1" applyAlignment="1">
      <alignment horizontal="center" vertical="top" wrapText="1"/>
    </xf>
    <xf numFmtId="0" fontId="9" fillId="2" borderId="0" xfId="0" applyFont="1" applyFill="1" applyAlignment="1">
      <alignment horizontal="left"/>
    </xf>
    <xf numFmtId="0" fontId="8" fillId="2" borderId="4" xfId="0" applyFont="1" applyFill="1" applyBorder="1" applyAlignment="1">
      <alignment vertical="top" wrapText="1"/>
    </xf>
    <xf numFmtId="0" fontId="8" fillId="2" borderId="3" xfId="0" applyFont="1" applyFill="1" applyBorder="1" applyAlignment="1">
      <alignment vertical="top" wrapText="1"/>
    </xf>
    <xf numFmtId="0" fontId="8" fillId="2" borderId="2" xfId="0" applyFont="1" applyFill="1" applyBorder="1" applyAlignment="1">
      <alignment vertical="top" wrapText="1"/>
    </xf>
    <xf numFmtId="0" fontId="6" fillId="2" borderId="14" xfId="0" applyFont="1" applyFill="1" applyBorder="1" applyAlignment="1">
      <alignment horizontal="center"/>
    </xf>
    <xf numFmtId="0" fontId="6" fillId="2" borderId="12" xfId="0" applyFont="1" applyFill="1" applyBorder="1" applyAlignment="1">
      <alignment horizontal="center"/>
    </xf>
    <xf numFmtId="0" fontId="6" fillId="2" borderId="13" xfId="0" applyFont="1" applyFill="1" applyBorder="1" applyAlignment="1">
      <alignment horizontal="center"/>
    </xf>
    <xf numFmtId="0" fontId="6" fillId="2" borderId="11" xfId="0" applyFont="1" applyFill="1" applyBorder="1" applyAlignment="1">
      <alignment horizontal="center"/>
    </xf>
    <xf numFmtId="0" fontId="6" fillId="2" borderId="0" xfId="0" applyFont="1" applyFill="1" applyAlignment="1">
      <alignment horizontal="center"/>
    </xf>
    <xf numFmtId="0" fontId="6" fillId="2" borderId="9" xfId="0" applyFont="1" applyFill="1" applyBorder="1" applyAlignment="1">
      <alignment horizontal="center"/>
    </xf>
    <xf numFmtId="0" fontId="5" fillId="2" borderId="4" xfId="0" applyFont="1" applyFill="1" applyBorder="1" applyAlignment="1">
      <alignment vertical="center" wrapText="1"/>
    </xf>
    <xf numFmtId="0" fontId="5" fillId="2" borderId="3" xfId="0" applyFont="1" applyFill="1" applyBorder="1" applyAlignment="1">
      <alignment vertical="center" wrapText="1"/>
    </xf>
    <xf numFmtId="0" fontId="5" fillId="2" borderId="2" xfId="0" applyFont="1" applyFill="1" applyBorder="1" applyAlignment="1">
      <alignment vertical="center" wrapText="1"/>
    </xf>
    <xf numFmtId="39" fontId="1" fillId="0" borderId="4" xfId="0" applyNumberFormat="1" applyFont="1" applyBorder="1" applyAlignment="1">
      <alignment horizontal="center" vertical="center"/>
    </xf>
    <xf numFmtId="39" fontId="1" fillId="0" borderId="3" xfId="0" applyNumberFormat="1" applyFont="1" applyBorder="1" applyAlignment="1">
      <alignment horizontal="center" vertical="center"/>
    </xf>
    <xf numFmtId="39" fontId="1" fillId="0" borderId="2" xfId="0" applyNumberFormat="1" applyFont="1" applyBorder="1" applyAlignment="1">
      <alignment horizontal="center" vertical="center"/>
    </xf>
    <xf numFmtId="1" fontId="1" fillId="2" borderId="4"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44" fontId="1" fillId="2" borderId="4" xfId="5" applyFont="1" applyFill="1" applyBorder="1" applyAlignment="1">
      <alignment horizontal="center" vertical="center"/>
    </xf>
    <xf numFmtId="44" fontId="1" fillId="2" borderId="3" xfId="5" applyFont="1" applyFill="1" applyBorder="1" applyAlignment="1">
      <alignment horizontal="center" vertical="center"/>
    </xf>
    <xf numFmtId="44" fontId="1" fillId="2" borderId="2" xfId="5" applyFont="1" applyFill="1" applyBorder="1" applyAlignment="1">
      <alignment horizontal="center" vertical="center"/>
    </xf>
    <xf numFmtId="0" fontId="6" fillId="2" borderId="10" xfId="0" applyFont="1"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23" fillId="2" borderId="1" xfId="0" applyFont="1" applyFill="1" applyBorder="1" applyAlignment="1">
      <alignment horizontal="left" vertical="center" wrapText="1"/>
    </xf>
    <xf numFmtId="0" fontId="23" fillId="2" borderId="1" xfId="0" applyFont="1" applyFill="1" applyBorder="1" applyAlignment="1">
      <alignment horizontal="center" vertical="center" wrapText="1"/>
    </xf>
    <xf numFmtId="0" fontId="5" fillId="2" borderId="4" xfId="0" applyFont="1" applyFill="1" applyBorder="1" applyAlignment="1">
      <alignment wrapText="1"/>
    </xf>
    <xf numFmtId="0" fontId="5" fillId="2" borderId="3" xfId="0" applyFont="1" applyFill="1" applyBorder="1" applyAlignment="1">
      <alignment wrapText="1"/>
    </xf>
    <xf numFmtId="0" fontId="5" fillId="2" borderId="2" xfId="0" applyFont="1" applyFill="1" applyBorder="1" applyAlignment="1">
      <alignment wrapText="1"/>
    </xf>
    <xf numFmtId="3" fontId="5" fillId="2" borderId="4" xfId="0" applyNumberFormat="1" applyFont="1" applyFill="1" applyBorder="1" applyAlignment="1">
      <alignment horizontal="center"/>
    </xf>
    <xf numFmtId="0" fontId="1" fillId="0" borderId="0" xfId="0" applyFont="1" applyFill="1" applyAlignment="1">
      <alignment horizontal="left" vertical="center" wrapText="1"/>
    </xf>
    <xf numFmtId="8" fontId="8" fillId="0" borderId="4" xfId="5" applyNumberFormat="1" applyFont="1" applyBorder="1" applyAlignment="1">
      <alignment horizontal="center" vertical="center" wrapText="1"/>
    </xf>
    <xf numFmtId="8" fontId="8" fillId="0" borderId="3" xfId="5" applyNumberFormat="1" applyFont="1" applyBorder="1" applyAlignment="1">
      <alignment horizontal="center" vertical="center" wrapText="1"/>
    </xf>
    <xf numFmtId="8" fontId="8" fillId="0" borderId="2" xfId="5"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44" fontId="8" fillId="2" borderId="3" xfId="0" applyNumberFormat="1" applyFont="1" applyFill="1" applyBorder="1" applyAlignment="1">
      <alignment horizontal="center"/>
    </xf>
    <xf numFmtId="3" fontId="5" fillId="2" borderId="4" xfId="0" applyNumberFormat="1" applyFont="1" applyFill="1" applyBorder="1" applyAlignment="1">
      <alignment horizontal="center" vertical="center" wrapText="1"/>
    </xf>
    <xf numFmtId="164" fontId="1" fillId="0" borderId="0" xfId="2" applyFont="1"/>
    <xf numFmtId="0" fontId="6" fillId="2" borderId="14" xfId="0" applyFont="1" applyFill="1" applyBorder="1" applyAlignment="1">
      <alignment horizontal="center" wrapText="1"/>
    </xf>
    <xf numFmtId="1" fontId="13" fillId="0" borderId="4" xfId="0" applyNumberFormat="1" applyFont="1" applyBorder="1" applyAlignment="1">
      <alignment horizontal="center" vertical="center" wrapText="1"/>
    </xf>
    <xf numFmtId="1" fontId="13" fillId="0" borderId="3" xfId="0" applyNumberFormat="1" applyFont="1" applyBorder="1" applyAlignment="1">
      <alignment horizontal="center" vertical="center" wrapText="1"/>
    </xf>
    <xf numFmtId="1" fontId="13" fillId="0" borderId="2" xfId="0" applyNumberFormat="1" applyFont="1" applyBorder="1" applyAlignment="1">
      <alignment horizontal="center" vertical="center" wrapText="1"/>
    </xf>
    <xf numFmtId="3" fontId="5" fillId="2" borderId="2" xfId="0" applyNumberFormat="1" applyFont="1" applyFill="1" applyBorder="1" applyAlignment="1">
      <alignment horizontal="center"/>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1" fontId="5" fillId="2" borderId="4" xfId="0" applyNumberFormat="1" applyFont="1" applyFill="1" applyBorder="1" applyAlignment="1">
      <alignment horizontal="center"/>
    </xf>
    <xf numFmtId="1" fontId="5" fillId="2" borderId="2" xfId="0" applyNumberFormat="1" applyFont="1" applyFill="1" applyBorder="1" applyAlignment="1">
      <alignment horizontal="center"/>
    </xf>
    <xf numFmtId="0" fontId="11" fillId="2" borderId="4"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0" fillId="2" borderId="4" xfId="0" applyFont="1" applyFill="1" applyBorder="1" applyAlignment="1">
      <alignment horizontal="center" vertical="top" wrapText="1"/>
    </xf>
    <xf numFmtId="0" fontId="10" fillId="2" borderId="3" xfId="0" applyFont="1" applyFill="1" applyBorder="1" applyAlignment="1">
      <alignment horizontal="center" vertical="top" wrapText="1"/>
    </xf>
    <xf numFmtId="0" fontId="10" fillId="2" borderId="2" xfId="0" applyFont="1" applyFill="1" applyBorder="1" applyAlignment="1">
      <alignment horizontal="center" vertical="top" wrapText="1"/>
    </xf>
  </cellXfs>
  <cellStyles count="6">
    <cellStyle name="Hipervínculo" xfId="1" builtinId="8"/>
    <cellStyle name="Moneda" xfId="5" builtinId="4"/>
    <cellStyle name="Moneda [0]" xfId="2" builtinId="7"/>
    <cellStyle name="Moneda 10" xfId="4" xr:uid="{BFFF0904-6490-4544-B613-E36A2D2522B9}"/>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181708</xdr:colOff>
      <xdr:row>0</xdr:row>
      <xdr:rowOff>35169</xdr:rowOff>
    </xdr:from>
    <xdr:to>
      <xdr:col>1</xdr:col>
      <xdr:colOff>715634</xdr:colOff>
      <xdr:row>1</xdr:row>
      <xdr:rowOff>477764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81708" y="35169"/>
          <a:ext cx="930827" cy="741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181708</xdr:colOff>
      <xdr:row>0</xdr:row>
      <xdr:rowOff>35169</xdr:rowOff>
    </xdr:from>
    <xdr:to>
      <xdr:col>2</xdr:col>
      <xdr:colOff>105606</xdr:colOff>
      <xdr:row>1</xdr:row>
      <xdr:rowOff>477764</xdr:rowOff>
    </xdr:to>
    <xdr:pic>
      <xdr:nvPicPr>
        <xdr:cNvPr id="2" name="Imagen 1">
          <a:extLst>
            <a:ext uri="{FF2B5EF4-FFF2-40B4-BE49-F238E27FC236}">
              <a16:creationId xmlns:a16="http://schemas.microsoft.com/office/drawing/2014/main" id="{0BB9F13E-2EDE-4762-A16F-4EB989D7AEC4}"/>
            </a:ext>
          </a:extLst>
        </xdr:cNvPr>
        <xdr:cNvPicPr>
          <a:picLocks noChangeAspect="1"/>
        </xdr:cNvPicPr>
      </xdr:nvPicPr>
      <xdr:blipFill>
        <a:blip xmlns:r="http://schemas.openxmlformats.org/officeDocument/2006/relationships" r:embed="rId1"/>
        <a:stretch>
          <a:fillRect/>
        </a:stretch>
      </xdr:blipFill>
      <xdr:spPr>
        <a:xfrm>
          <a:off x="181708" y="35169"/>
          <a:ext cx="960218" cy="7473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181708</xdr:colOff>
      <xdr:row>0</xdr:row>
      <xdr:rowOff>35169</xdr:rowOff>
    </xdr:from>
    <xdr:to>
      <xdr:col>2</xdr:col>
      <xdr:colOff>105606</xdr:colOff>
      <xdr:row>1</xdr:row>
      <xdr:rowOff>477764</xdr:rowOff>
    </xdr:to>
    <xdr:pic>
      <xdr:nvPicPr>
        <xdr:cNvPr id="2" name="Imagen 1">
          <a:extLst>
            <a:ext uri="{FF2B5EF4-FFF2-40B4-BE49-F238E27FC236}">
              <a16:creationId xmlns:a16="http://schemas.microsoft.com/office/drawing/2014/main" id="{10DEB402-7FB4-419D-9843-1A53E87A900A}"/>
            </a:ext>
          </a:extLst>
        </xdr:cNvPr>
        <xdr:cNvPicPr>
          <a:picLocks noChangeAspect="1"/>
        </xdr:cNvPicPr>
      </xdr:nvPicPr>
      <xdr:blipFill>
        <a:blip xmlns:r="http://schemas.openxmlformats.org/officeDocument/2006/relationships" r:embed="rId1"/>
        <a:stretch>
          <a:fillRect/>
        </a:stretch>
      </xdr:blipFill>
      <xdr:spPr>
        <a:xfrm>
          <a:off x="181708" y="35169"/>
          <a:ext cx="960218" cy="7473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oreya/Mis%20documentos/METODOLO3/Usuario/2012%20%20PRIMERA%20INFANCIA/PE_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heetName val="PE-Indice"/>
      <sheetName val="PE-01"/>
      <sheetName val="PE-02"/>
      <sheetName val="PE-03"/>
      <sheetName val="PE-04"/>
      <sheetName val="PE-05"/>
      <sheetName val="PE-06"/>
      <sheetName val="PE-07"/>
      <sheetName val="PE-08"/>
      <sheetName val="PE-09"/>
      <sheetName val="PE-10"/>
      <sheetName val="PE-11"/>
      <sheetName val="PE-12"/>
      <sheetName val="PE-13"/>
      <sheetName val="PE-14"/>
      <sheetName val="PE-15"/>
      <sheetName val="PE-16"/>
      <sheetName val="Control"/>
      <sheetName val="preinversion"/>
      <sheetName val="ejecucion"/>
      <sheetName val="mantenimiento"/>
      <sheetName val="des_rps"/>
    </sheetNames>
    <sheetDataSet>
      <sheetData sheetId="0" refreshError="1">
        <row r="2">
          <cell r="AI2" t="str">
            <v>amperio</v>
          </cell>
        </row>
        <row r="3">
          <cell r="AI3" t="str">
            <v>bar</v>
          </cell>
        </row>
        <row r="4">
          <cell r="AI4" t="str">
            <v>becquerel</v>
          </cell>
        </row>
        <row r="5">
          <cell r="AI5" t="str">
            <v>bytes sobre segundo</v>
          </cell>
        </row>
        <row r="6">
          <cell r="AI6" t="str">
            <v>candela</v>
          </cell>
        </row>
        <row r="7">
          <cell r="AI7" t="str">
            <v>centímetro</v>
          </cell>
        </row>
        <row r="8">
          <cell r="AI8" t="str">
            <v>centímetro cuadrado</v>
          </cell>
        </row>
        <row r="9">
          <cell r="AI9" t="str">
            <v>centímetro cúbico</v>
          </cell>
        </row>
        <row r="10">
          <cell r="AI10" t="str">
            <v>culombio</v>
          </cell>
        </row>
        <row r="11">
          <cell r="AI11" t="str">
            <v>día</v>
          </cell>
        </row>
        <row r="12">
          <cell r="AI12" t="str">
            <v>doce meses</v>
          </cell>
        </row>
        <row r="13">
          <cell r="AI13" t="str">
            <v>electronvoltio</v>
          </cell>
        </row>
        <row r="14">
          <cell r="AI14" t="str">
            <v>estereorradián</v>
          </cell>
        </row>
        <row r="15">
          <cell r="AI15" t="str">
            <v>faradio</v>
          </cell>
        </row>
        <row r="16">
          <cell r="AI16" t="str">
            <v>gigahercio</v>
          </cell>
        </row>
        <row r="17">
          <cell r="AI17" t="str">
            <v>grado</v>
          </cell>
        </row>
        <row r="18">
          <cell r="AI18" t="str">
            <v>grado Celsius</v>
          </cell>
        </row>
        <row r="19">
          <cell r="AI19" t="str">
            <v>gramo</v>
          </cell>
        </row>
        <row r="20">
          <cell r="AI20" t="str">
            <v>gramo por centímetro cúbico</v>
          </cell>
        </row>
        <row r="21">
          <cell r="AI21" t="str">
            <v>gray</v>
          </cell>
        </row>
        <row r="22">
          <cell r="AI22" t="str">
            <v>hectárea</v>
          </cell>
        </row>
        <row r="23">
          <cell r="AI23" t="str">
            <v>henrio</v>
          </cell>
        </row>
        <row r="24">
          <cell r="AI24" t="str">
            <v>hercio</v>
          </cell>
        </row>
        <row r="25">
          <cell r="AI25" t="str">
            <v>hora</v>
          </cell>
        </row>
        <row r="26">
          <cell r="AI26" t="str">
            <v>joule por kelvin</v>
          </cell>
        </row>
        <row r="27">
          <cell r="AI27" t="str">
            <v>joule por kilogramo kelvin</v>
          </cell>
        </row>
        <row r="28">
          <cell r="AI28" t="str">
            <v>julio</v>
          </cell>
        </row>
        <row r="29">
          <cell r="AI29" t="str">
            <v>kelvin</v>
          </cell>
        </row>
        <row r="30">
          <cell r="AI30" t="str">
            <v>kilogramo</v>
          </cell>
        </row>
        <row r="31">
          <cell r="AI31" t="str">
            <v>kilogramo por metro cúbico</v>
          </cell>
        </row>
        <row r="32">
          <cell r="AI32" t="str">
            <v>kilohercio</v>
          </cell>
        </row>
        <row r="33">
          <cell r="AI33" t="str">
            <v>kilómetro</v>
          </cell>
        </row>
        <row r="34">
          <cell r="AI34" t="str">
            <v>kilometro cuadrado</v>
          </cell>
        </row>
        <row r="35">
          <cell r="AI35" t="str">
            <v>kilómetro por hora</v>
          </cell>
        </row>
        <row r="36">
          <cell r="AI36" t="str">
            <v>kilovatio</v>
          </cell>
        </row>
        <row r="37">
          <cell r="AI37" t="str">
            <v>litro</v>
          </cell>
        </row>
        <row r="38">
          <cell r="AI38" t="str">
            <v>lumen</v>
          </cell>
        </row>
        <row r="39">
          <cell r="AI39" t="str">
            <v>lx</v>
          </cell>
        </row>
        <row r="40">
          <cell r="AI40" t="str">
            <v>megahercio</v>
          </cell>
        </row>
        <row r="41">
          <cell r="AI41" t="str">
            <v>megavatio</v>
          </cell>
        </row>
        <row r="42">
          <cell r="AI42" t="str">
            <v>metro</v>
          </cell>
        </row>
        <row r="43">
          <cell r="AI43" t="str">
            <v>metro a la potencia menos uno</v>
          </cell>
        </row>
        <row r="44">
          <cell r="AI44" t="str">
            <v>metro cuadrado</v>
          </cell>
        </row>
        <row r="45">
          <cell r="AI45" t="str">
            <v>metro cúbico</v>
          </cell>
        </row>
        <row r="46">
          <cell r="AI46" t="str">
            <v>metro lineal</v>
          </cell>
        </row>
        <row r="47">
          <cell r="AI47" t="str">
            <v>metro por segundo</v>
          </cell>
        </row>
        <row r="48">
          <cell r="AI48" t="str">
            <v>metro por segundo cuadrado</v>
          </cell>
        </row>
        <row r="49">
          <cell r="AI49" t="str">
            <v>microgramo</v>
          </cell>
        </row>
        <row r="50">
          <cell r="AI50" t="str">
            <v>miles de pesos moneda corriente</v>
          </cell>
        </row>
        <row r="51">
          <cell r="AI51" t="str">
            <v>miligramo</v>
          </cell>
        </row>
        <row r="52">
          <cell r="AI52" t="str">
            <v>miligramo por metro cúbico</v>
          </cell>
        </row>
        <row r="53">
          <cell r="AI53" t="str">
            <v>milímetro</v>
          </cell>
        </row>
        <row r="54">
          <cell r="AI54" t="str">
            <v>milímetro cuadrado</v>
          </cell>
        </row>
        <row r="55">
          <cell r="AI55" t="str">
            <v>milímetro cúbico</v>
          </cell>
        </row>
        <row r="56">
          <cell r="AI56" t="str">
            <v>millones pesos moneda corriente</v>
          </cell>
        </row>
        <row r="57">
          <cell r="AI57" t="str">
            <v>minuto</v>
          </cell>
        </row>
        <row r="58">
          <cell r="AI58" t="str">
            <v>minuto de  ángulo plano</v>
          </cell>
        </row>
        <row r="59">
          <cell r="AI59" t="str">
            <v>mol</v>
          </cell>
        </row>
        <row r="60">
          <cell r="AI60" t="str">
            <v>newton</v>
          </cell>
        </row>
        <row r="61">
          <cell r="AI61" t="str">
            <v>número</v>
          </cell>
        </row>
        <row r="62">
          <cell r="AI62" t="str">
            <v>Pacientes por día</v>
          </cell>
        </row>
        <row r="63">
          <cell r="AI63" t="str">
            <v>pascal</v>
          </cell>
        </row>
        <row r="64">
          <cell r="AI64" t="str">
            <v>pascal segundo</v>
          </cell>
        </row>
        <row r="65">
          <cell r="AI65" t="str">
            <v>pesos moneda corriente</v>
          </cell>
        </row>
        <row r="66">
          <cell r="AI66" t="str">
            <v>porcentaje</v>
          </cell>
        </row>
        <row r="67">
          <cell r="AI67" t="str">
            <v>radián</v>
          </cell>
        </row>
        <row r="68">
          <cell r="AI68" t="str">
            <v>radián por segundo</v>
          </cell>
        </row>
        <row r="69">
          <cell r="AI69" t="str">
            <v>radián por segundo cuadrado</v>
          </cell>
        </row>
        <row r="70">
          <cell r="AI70" t="str">
            <v>segundo</v>
          </cell>
        </row>
        <row r="71">
          <cell r="AI71" t="str">
            <v>segundo de  ángulo plano</v>
          </cell>
        </row>
        <row r="72">
          <cell r="AI72" t="str">
            <v>siemens</v>
          </cell>
        </row>
        <row r="73">
          <cell r="AI73" t="str">
            <v>siete días</v>
          </cell>
        </row>
        <row r="74">
          <cell r="AI74" t="str">
            <v>sievert</v>
          </cell>
        </row>
        <row r="75">
          <cell r="AI75" t="str">
            <v>tesla</v>
          </cell>
        </row>
        <row r="76">
          <cell r="AI76" t="str">
            <v>tonelada</v>
          </cell>
        </row>
        <row r="77">
          <cell r="AI77" t="str">
            <v>treinta días</v>
          </cell>
        </row>
        <row r="78">
          <cell r="AI78" t="str">
            <v>unidad de masa atómica</v>
          </cell>
        </row>
        <row r="79">
          <cell r="AI79" t="str">
            <v>Uno</v>
          </cell>
        </row>
        <row r="80">
          <cell r="AI80" t="str">
            <v>valor  por un día de trabajo</v>
          </cell>
        </row>
        <row r="81">
          <cell r="AI81" t="str">
            <v>vatio</v>
          </cell>
        </row>
        <row r="82">
          <cell r="AI82" t="str">
            <v>voltio por metro</v>
          </cell>
        </row>
        <row r="83">
          <cell r="AI83" t="str">
            <v>voltio</v>
          </cell>
        </row>
        <row r="84">
          <cell r="AI84" t="str">
            <v>Vatio por metro kelvin</v>
          </cell>
        </row>
        <row r="85">
          <cell r="AI85" t="str">
            <v>weber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I2" t="str">
            <v>amperio</v>
          </cell>
        </row>
      </sheetData>
      <sheetData sheetId="22"/>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royectos@aim-meta.gov.co" TargetMode="External"/><Relationship Id="rId1" Type="http://schemas.openxmlformats.org/officeDocument/2006/relationships/hyperlink" Target="mailto:gerencia@aim-meta.gov.co"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proyectos@aim-meta.gov.co" TargetMode="External"/><Relationship Id="rId1" Type="http://schemas.openxmlformats.org/officeDocument/2006/relationships/hyperlink" Target="mailto:gerencia@aim-meta.gov.co" TargetMode="Externa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proyectos@aim-meta.gov.co" TargetMode="External"/><Relationship Id="rId1" Type="http://schemas.openxmlformats.org/officeDocument/2006/relationships/hyperlink" Target="mailto:gerencia@aim-meta.gov.co" TargetMode="External"/><Relationship Id="rId5" Type="http://schemas.openxmlformats.org/officeDocument/2006/relationships/vmlDrawing" Target="../drawings/vmlDrawing3.v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06"/>
  <sheetViews>
    <sheetView tabSelected="1" view="pageBreakPreview" topLeftCell="A37" zoomScale="150" zoomScaleNormal="40" zoomScaleSheetLayoutView="100" zoomScalePageLayoutView="70" workbookViewId="0">
      <selection activeCell="AQ40" sqref="AQ40"/>
    </sheetView>
  </sheetViews>
  <sheetFormatPr baseColWidth="10" defaultColWidth="3.83203125" defaultRowHeight="16" x14ac:dyDescent="0.2"/>
  <cols>
    <col min="1" max="1" width="6" style="1" customWidth="1"/>
    <col min="2" max="2" width="11.33203125" style="1" customWidth="1"/>
    <col min="3" max="4" width="5.1640625" style="1" customWidth="1"/>
    <col min="5" max="5" width="2.5" style="1" customWidth="1"/>
    <col min="6" max="6" width="5.5" style="1" customWidth="1"/>
    <col min="7" max="7" width="7.6640625" style="1" bestFit="1" customWidth="1"/>
    <col min="8" max="8" width="1.5" style="1" customWidth="1"/>
    <col min="9" max="9" width="7.33203125" style="1" customWidth="1"/>
    <col min="10" max="10" width="1.33203125" style="1" customWidth="1"/>
    <col min="11" max="11" width="2.5" style="1" customWidth="1"/>
    <col min="12" max="12" width="8.83203125" style="1" customWidth="1"/>
    <col min="13" max="13" width="3.83203125" style="1"/>
    <col min="14" max="14" width="4.5" style="1" customWidth="1"/>
    <col min="15" max="15" width="3.83203125" style="1"/>
    <col min="16" max="16" width="2.5" style="1" customWidth="1"/>
    <col min="17" max="17" width="7.83203125" style="1" customWidth="1"/>
    <col min="18" max="18" width="2.6640625" style="1" customWidth="1"/>
    <col min="19" max="19" width="5.6640625" style="1" customWidth="1"/>
    <col min="20" max="21" width="3.83203125" style="1"/>
    <col min="22" max="22" width="2.1640625" style="1" customWidth="1"/>
    <col min="23" max="24" width="3.83203125" style="1"/>
    <col min="25" max="25" width="6.83203125" style="1" customWidth="1"/>
    <col min="26" max="26" width="1.83203125" style="1" customWidth="1"/>
    <col min="27" max="27" width="5.5" style="1" customWidth="1"/>
    <col min="28" max="28" width="3.83203125" style="1" customWidth="1"/>
    <col min="29" max="29" width="2.83203125" style="1" customWidth="1"/>
    <col min="30" max="30" width="9.5" style="1" customWidth="1"/>
    <col min="31" max="33" width="3.83203125" style="1"/>
    <col min="34" max="34" width="11.1640625" style="1" bestFit="1" customWidth="1"/>
    <col min="35" max="16384" width="3.83203125" style="1"/>
  </cols>
  <sheetData>
    <row r="1" spans="1:30" ht="24" customHeight="1" x14ac:dyDescent="0.2">
      <c r="A1" s="56"/>
      <c r="B1" s="56"/>
      <c r="C1" s="56"/>
      <c r="D1" s="57" t="s">
        <v>65</v>
      </c>
      <c r="E1" s="57"/>
      <c r="F1" s="57"/>
      <c r="G1" s="57"/>
      <c r="H1" s="57"/>
      <c r="I1" s="57"/>
      <c r="J1" s="57"/>
      <c r="K1" s="57"/>
      <c r="L1" s="57"/>
      <c r="M1" s="57"/>
      <c r="N1" s="57"/>
      <c r="O1" s="57"/>
      <c r="P1" s="57"/>
      <c r="Q1" s="57"/>
      <c r="R1" s="57"/>
      <c r="S1" s="57"/>
      <c r="T1" s="57"/>
      <c r="U1" s="57"/>
      <c r="V1" s="57"/>
      <c r="W1" s="58" t="s">
        <v>64</v>
      </c>
      <c r="X1" s="59"/>
      <c r="Y1" s="59"/>
      <c r="Z1" s="60"/>
      <c r="AA1" s="61" t="s">
        <v>63</v>
      </c>
      <c r="AB1" s="61"/>
      <c r="AC1" s="61"/>
      <c r="AD1" s="61"/>
    </row>
    <row r="2" spans="1:30" ht="41.5" customHeight="1" x14ac:dyDescent="0.2">
      <c r="A2" s="56"/>
      <c r="B2" s="56"/>
      <c r="C2" s="56"/>
      <c r="D2" s="57"/>
      <c r="E2" s="57"/>
      <c r="F2" s="57"/>
      <c r="G2" s="57"/>
      <c r="H2" s="57"/>
      <c r="I2" s="57"/>
      <c r="J2" s="57"/>
      <c r="K2" s="57"/>
      <c r="L2" s="57"/>
      <c r="M2" s="57"/>
      <c r="N2" s="57"/>
      <c r="O2" s="57"/>
      <c r="P2" s="57"/>
      <c r="Q2" s="57"/>
      <c r="R2" s="57"/>
      <c r="S2" s="57"/>
      <c r="T2" s="57"/>
      <c r="U2" s="57"/>
      <c r="V2" s="57"/>
      <c r="W2" s="58" t="s">
        <v>62</v>
      </c>
      <c r="X2" s="59"/>
      <c r="Y2" s="59"/>
      <c r="Z2" s="60"/>
      <c r="AA2" s="61" t="s">
        <v>61</v>
      </c>
      <c r="AB2" s="61"/>
      <c r="AC2" s="61"/>
      <c r="AD2" s="61"/>
    </row>
    <row r="3" spans="1:30" x14ac:dyDescent="0.2">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x14ac:dyDescent="0.2">
      <c r="A4" s="190" t="s">
        <v>89</v>
      </c>
      <c r="B4" s="190"/>
      <c r="C4" s="190"/>
      <c r="D4" s="190"/>
      <c r="E4" s="190"/>
      <c r="F4" s="190"/>
      <c r="G4" s="190"/>
      <c r="H4" s="10"/>
      <c r="I4" s="10"/>
      <c r="J4" s="10"/>
      <c r="K4" s="10"/>
      <c r="L4" s="10"/>
      <c r="M4" s="10"/>
      <c r="N4" s="10"/>
      <c r="O4" s="10"/>
      <c r="P4" s="10"/>
      <c r="Q4" s="10"/>
      <c r="R4" s="10"/>
      <c r="S4" s="10"/>
      <c r="T4" s="10"/>
      <c r="U4" s="10"/>
      <c r="V4" s="10"/>
      <c r="W4" s="10"/>
      <c r="X4" s="10"/>
      <c r="Y4" s="10"/>
      <c r="Z4" s="10"/>
      <c r="AA4" s="10"/>
      <c r="AB4" s="10"/>
      <c r="AC4" s="10"/>
      <c r="AD4" s="10"/>
    </row>
    <row r="5" spans="1:30" ht="5.5" customHeight="1" x14ac:dyDescent="0.2">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ht="6.5" customHeight="1" x14ac:dyDescent="0.2">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ht="7.25" customHeight="1" x14ac:dyDescent="0.2">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row r="8" spans="1:30" ht="16" customHeight="1" x14ac:dyDescent="0.2">
      <c r="A8" s="14" t="s">
        <v>67</v>
      </c>
      <c r="B8" s="14"/>
      <c r="C8" s="14"/>
      <c r="D8" s="14"/>
      <c r="E8" s="14"/>
      <c r="F8" s="14"/>
      <c r="G8" s="14"/>
      <c r="H8" s="14"/>
      <c r="I8" s="14"/>
      <c r="J8" s="10"/>
      <c r="K8" s="10"/>
      <c r="L8" s="10"/>
      <c r="M8" s="10"/>
      <c r="N8" s="10"/>
      <c r="O8" s="10"/>
      <c r="P8" s="10"/>
      <c r="Q8" s="10"/>
      <c r="R8" s="10"/>
      <c r="S8" s="10"/>
      <c r="T8" s="10"/>
      <c r="U8" s="10"/>
      <c r="V8" s="10"/>
      <c r="W8" s="10"/>
      <c r="X8" s="10"/>
      <c r="Y8" s="10"/>
      <c r="Z8" s="10"/>
      <c r="AA8" s="10"/>
      <c r="AB8" s="10"/>
      <c r="AC8" s="10"/>
      <c r="AD8" s="10"/>
    </row>
    <row r="9" spans="1:30" x14ac:dyDescent="0.2">
      <c r="A9" s="15" t="s">
        <v>68</v>
      </c>
      <c r="B9" s="15"/>
      <c r="C9" s="15"/>
      <c r="D9" s="15"/>
      <c r="E9" s="15"/>
      <c r="F9" s="15"/>
      <c r="G9" s="15"/>
      <c r="H9" s="15"/>
      <c r="I9" s="15"/>
      <c r="J9" s="10"/>
      <c r="K9" s="10"/>
      <c r="L9" s="10"/>
      <c r="M9" s="10"/>
      <c r="N9" s="10"/>
      <c r="O9" s="10"/>
      <c r="P9" s="10"/>
      <c r="Q9" s="10"/>
      <c r="R9" s="10"/>
      <c r="S9" s="10"/>
      <c r="T9" s="10"/>
      <c r="U9" s="10"/>
      <c r="V9" s="10"/>
      <c r="W9" s="10"/>
      <c r="X9" s="10"/>
      <c r="Y9" s="10"/>
      <c r="Z9" s="10"/>
      <c r="AA9" s="10"/>
      <c r="AB9" s="10"/>
      <c r="AC9" s="10"/>
      <c r="AD9" s="10"/>
    </row>
    <row r="10" spans="1:30" ht="16" customHeight="1" x14ac:dyDescent="0.2">
      <c r="A10" s="16" t="s">
        <v>66</v>
      </c>
      <c r="B10" s="17"/>
      <c r="C10" s="17"/>
      <c r="D10" s="17"/>
      <c r="E10" s="17"/>
      <c r="F10" s="17"/>
      <c r="G10" s="17"/>
      <c r="H10" s="17"/>
      <c r="I10" s="17"/>
      <c r="J10" s="10"/>
      <c r="K10" s="10"/>
      <c r="L10" s="10"/>
      <c r="M10" s="10"/>
      <c r="N10" s="10"/>
      <c r="O10" s="10"/>
      <c r="P10" s="10"/>
      <c r="Q10" s="10"/>
      <c r="R10" s="10"/>
      <c r="S10" s="10"/>
      <c r="T10" s="10"/>
      <c r="U10" s="10"/>
      <c r="V10" s="10"/>
      <c r="W10" s="10"/>
      <c r="X10" s="10"/>
      <c r="Y10" s="10"/>
      <c r="Z10" s="10"/>
      <c r="AA10" s="10"/>
      <c r="AB10" s="10"/>
      <c r="AC10" s="10"/>
      <c r="AD10" s="10"/>
    </row>
    <row r="11" spans="1:30" ht="16" customHeight="1" x14ac:dyDescent="0.2">
      <c r="A11" s="16" t="s">
        <v>60</v>
      </c>
      <c r="B11" s="17"/>
      <c r="C11" s="17"/>
      <c r="D11" s="17"/>
      <c r="E11" s="17"/>
      <c r="F11" s="17"/>
      <c r="G11" s="17"/>
      <c r="H11" s="17"/>
      <c r="I11" s="17"/>
      <c r="J11" s="10"/>
      <c r="K11" s="10"/>
      <c r="L11" s="10"/>
      <c r="M11" s="10"/>
      <c r="N11" s="10"/>
      <c r="O11" s="10"/>
      <c r="P11" s="10"/>
      <c r="Q11" s="10"/>
      <c r="R11" s="10"/>
      <c r="S11" s="10"/>
      <c r="T11" s="10"/>
      <c r="U11" s="10"/>
      <c r="V11" s="10"/>
      <c r="W11" s="10"/>
      <c r="X11" s="10"/>
      <c r="Y11" s="10"/>
      <c r="Z11" s="10"/>
      <c r="AA11" s="10"/>
      <c r="AB11" s="10"/>
      <c r="AC11" s="10"/>
      <c r="AD11" s="10"/>
    </row>
    <row r="12" spans="1:30" ht="10.5" customHeight="1" x14ac:dyDescent="0.2">
      <c r="A12" s="18"/>
      <c r="B12" s="18"/>
      <c r="C12" s="18"/>
      <c r="D12" s="18"/>
      <c r="E12" s="18"/>
      <c r="F12" s="18"/>
      <c r="G12" s="18"/>
      <c r="H12" s="18"/>
      <c r="I12" s="18"/>
      <c r="J12" s="10"/>
      <c r="K12" s="10"/>
      <c r="L12" s="10"/>
      <c r="M12" s="10"/>
      <c r="N12" s="10"/>
      <c r="O12" s="10"/>
      <c r="P12" s="10"/>
      <c r="Q12" s="10"/>
      <c r="R12" s="10"/>
      <c r="S12" s="10"/>
      <c r="T12" s="10"/>
      <c r="U12" s="10"/>
      <c r="V12" s="10"/>
      <c r="W12" s="10"/>
      <c r="X12" s="10"/>
      <c r="Y12" s="10"/>
      <c r="Z12" s="10"/>
      <c r="AA12" s="10"/>
      <c r="AB12" s="10"/>
      <c r="AC12" s="10"/>
      <c r="AD12" s="10"/>
    </row>
    <row r="13" spans="1:30" ht="10.5" customHeight="1" x14ac:dyDescent="0.2">
      <c r="A13" s="18"/>
      <c r="B13" s="18"/>
      <c r="C13" s="18"/>
      <c r="D13" s="18"/>
      <c r="E13" s="18"/>
      <c r="F13" s="18"/>
      <c r="G13" s="18"/>
      <c r="H13" s="18"/>
      <c r="I13" s="18"/>
      <c r="J13" s="10"/>
      <c r="K13" s="10"/>
      <c r="L13" s="10"/>
      <c r="M13" s="10"/>
      <c r="N13" s="10"/>
      <c r="O13" s="10"/>
      <c r="P13" s="10"/>
      <c r="Q13" s="10"/>
      <c r="R13" s="10"/>
      <c r="S13" s="10"/>
      <c r="T13" s="10"/>
      <c r="U13" s="10"/>
      <c r="V13" s="10"/>
      <c r="W13" s="10"/>
      <c r="X13" s="10"/>
      <c r="Y13" s="10"/>
      <c r="Z13" s="10"/>
      <c r="AA13" s="10"/>
      <c r="AB13" s="10"/>
      <c r="AC13" s="10"/>
      <c r="AD13" s="10"/>
    </row>
    <row r="14" spans="1:30" ht="3.5" customHeight="1" x14ac:dyDescent="0.2">
      <c r="A14" s="18"/>
      <c r="B14" s="18"/>
      <c r="C14" s="18"/>
      <c r="D14" s="18"/>
      <c r="E14" s="18"/>
      <c r="F14" s="18"/>
      <c r="G14" s="18"/>
      <c r="H14" s="18"/>
      <c r="I14" s="18"/>
      <c r="J14" s="10"/>
      <c r="K14" s="10"/>
      <c r="L14" s="10"/>
      <c r="M14" s="10"/>
      <c r="N14" s="10"/>
      <c r="O14" s="10"/>
      <c r="P14" s="10"/>
      <c r="Q14" s="10"/>
      <c r="R14" s="10"/>
      <c r="S14" s="10"/>
      <c r="T14" s="10"/>
      <c r="U14" s="10"/>
      <c r="V14" s="10"/>
      <c r="W14" s="10"/>
      <c r="X14" s="10"/>
      <c r="Y14" s="10"/>
      <c r="Z14" s="10"/>
      <c r="AA14" s="10"/>
      <c r="AB14" s="10"/>
      <c r="AC14" s="10"/>
      <c r="AD14" s="10"/>
    </row>
    <row r="15" spans="1:30" x14ac:dyDescent="0.2">
      <c r="A15" s="10" t="s">
        <v>59</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
      <c r="A16" s="10" t="s">
        <v>58</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4" x14ac:dyDescent="0.2">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4" ht="3" customHeight="1" x14ac:dyDescent="0.2">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4" x14ac:dyDescent="0.2">
      <c r="A19" s="10" t="s">
        <v>57</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4" x14ac:dyDescent="0.2">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4" ht="5" customHeight="1"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4" ht="31" customHeight="1" x14ac:dyDescent="0.2">
      <c r="A22" s="67" t="s">
        <v>56</v>
      </c>
      <c r="B22" s="67"/>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row>
    <row r="23" spans="1:34"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H23" s="199"/>
    </row>
    <row r="24" spans="1:34" x14ac:dyDescent="0.2">
      <c r="A24" s="68" t="s">
        <v>55</v>
      </c>
      <c r="B24" s="69"/>
      <c r="C24" s="69"/>
      <c r="D24" s="69"/>
      <c r="E24" s="69"/>
      <c r="F24" s="70"/>
      <c r="G24" s="74" t="s">
        <v>3</v>
      </c>
      <c r="H24" s="75"/>
      <c r="I24" s="75"/>
      <c r="J24" s="75"/>
      <c r="K24" s="75"/>
      <c r="L24" s="75"/>
      <c r="M24" s="75"/>
      <c r="N24" s="75"/>
      <c r="O24" s="75"/>
      <c r="P24" s="75"/>
      <c r="Q24" s="75"/>
      <c r="R24" s="75"/>
      <c r="S24" s="75"/>
      <c r="T24" s="75"/>
      <c r="U24" s="75"/>
      <c r="V24" s="75"/>
      <c r="W24" s="75"/>
      <c r="X24" s="76"/>
      <c r="Y24" s="74" t="s">
        <v>54</v>
      </c>
      <c r="Z24" s="75"/>
      <c r="AA24" s="75"/>
      <c r="AB24" s="75"/>
      <c r="AC24" s="75"/>
      <c r="AD24" s="76"/>
    </row>
    <row r="25" spans="1:34" ht="39" customHeight="1" x14ac:dyDescent="0.2">
      <c r="A25" s="71"/>
      <c r="B25" s="72"/>
      <c r="C25" s="72"/>
      <c r="D25" s="72"/>
      <c r="E25" s="72"/>
      <c r="F25" s="73"/>
      <c r="G25" s="77" t="s">
        <v>91</v>
      </c>
      <c r="H25" s="78"/>
      <c r="I25" s="78"/>
      <c r="J25" s="78"/>
      <c r="K25" s="78"/>
      <c r="L25" s="78"/>
      <c r="M25" s="78"/>
      <c r="N25" s="78"/>
      <c r="O25" s="78"/>
      <c r="P25" s="78"/>
      <c r="Q25" s="78"/>
      <c r="R25" s="78"/>
      <c r="S25" s="78"/>
      <c r="T25" s="78"/>
      <c r="U25" s="78"/>
      <c r="V25" s="78"/>
      <c r="W25" s="78"/>
      <c r="X25" s="79"/>
      <c r="Y25" s="174" t="s">
        <v>90</v>
      </c>
      <c r="Z25" s="175"/>
      <c r="AA25" s="175"/>
      <c r="AB25" s="175"/>
      <c r="AC25" s="175"/>
      <c r="AD25" s="176"/>
    </row>
    <row r="26" spans="1:34" ht="5.5" customHeight="1" x14ac:dyDescent="0.2">
      <c r="A26" s="10"/>
      <c r="B26" s="10"/>
      <c r="C26" s="10"/>
      <c r="D26" s="10"/>
      <c r="E26" s="10"/>
      <c r="F26" s="10"/>
      <c r="G26" s="62"/>
      <c r="H26" s="62"/>
      <c r="I26" s="62"/>
      <c r="J26" s="62"/>
      <c r="K26" s="62"/>
      <c r="L26" s="62"/>
      <c r="M26" s="62"/>
      <c r="N26" s="62"/>
      <c r="O26" s="62"/>
      <c r="P26" s="62"/>
      <c r="Q26" s="62"/>
      <c r="R26" s="62"/>
      <c r="S26" s="62"/>
      <c r="T26" s="62"/>
      <c r="U26" s="62"/>
      <c r="V26" s="62"/>
      <c r="W26" s="62"/>
      <c r="X26" s="62"/>
      <c r="Y26" s="19"/>
      <c r="Z26" s="19"/>
      <c r="AA26" s="19"/>
      <c r="AB26" s="19"/>
      <c r="AC26" s="19"/>
      <c r="AD26" s="19"/>
    </row>
    <row r="27" spans="1:34" ht="3" customHeight="1"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4" x14ac:dyDescent="0.2">
      <c r="A28" s="63" t="s">
        <v>53</v>
      </c>
      <c r="B28" s="63"/>
      <c r="C28" s="63"/>
      <c r="D28" s="63"/>
      <c r="E28" s="63"/>
      <c r="F28" s="63"/>
      <c r="G28" s="20"/>
      <c r="H28" s="21"/>
      <c r="I28" s="21"/>
      <c r="J28" s="21"/>
      <c r="K28" s="21"/>
      <c r="L28" s="21"/>
      <c r="M28" s="21"/>
      <c r="N28" s="21"/>
      <c r="O28" s="21"/>
      <c r="P28" s="21"/>
      <c r="Q28" s="21"/>
      <c r="R28" s="21"/>
      <c r="S28" s="21"/>
      <c r="T28" s="21"/>
      <c r="U28" s="21"/>
      <c r="V28" s="21"/>
      <c r="W28" s="21"/>
      <c r="X28" s="21"/>
      <c r="Y28" s="56" t="s">
        <v>52</v>
      </c>
      <c r="Z28" s="56"/>
      <c r="AA28" s="56"/>
      <c r="AB28" s="56"/>
      <c r="AC28" s="56"/>
      <c r="AD28" s="56"/>
    </row>
    <row r="29" spans="1:34" ht="15" customHeight="1" x14ac:dyDescent="0.2">
      <c r="A29" s="56"/>
      <c r="B29" s="56"/>
      <c r="C29" s="56"/>
      <c r="D29" s="56"/>
      <c r="E29" s="56"/>
      <c r="F29" s="56"/>
      <c r="G29" s="64" t="s">
        <v>71</v>
      </c>
      <c r="H29" s="65"/>
      <c r="I29" s="65"/>
      <c r="J29" s="65"/>
      <c r="K29" s="65"/>
      <c r="L29" s="65"/>
      <c r="M29" s="65"/>
      <c r="N29" s="65"/>
      <c r="O29" s="65"/>
      <c r="P29" s="65"/>
      <c r="Q29" s="65"/>
      <c r="R29" s="65"/>
      <c r="S29" s="65"/>
      <c r="T29" s="65"/>
      <c r="U29" s="65"/>
      <c r="V29" s="65"/>
      <c r="W29" s="65"/>
      <c r="X29" s="66"/>
      <c r="Y29" s="56">
        <v>26</v>
      </c>
      <c r="Z29" s="56"/>
      <c r="AA29" s="56"/>
      <c r="AB29" s="56"/>
      <c r="AC29" s="56"/>
      <c r="AD29" s="56"/>
    </row>
    <row r="30" spans="1:34" ht="9" customHeight="1" x14ac:dyDescent="0.2">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4" ht="2.5" customHeight="1"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4" x14ac:dyDescent="0.2">
      <c r="A32" s="131" t="s">
        <v>51</v>
      </c>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row>
    <row r="33" spans="1:30"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spans="1:30" ht="12" customHeight="1" x14ac:dyDescent="0.2">
      <c r="A34" s="177" t="s">
        <v>50</v>
      </c>
      <c r="B34" s="177"/>
      <c r="C34" s="177"/>
      <c r="D34" s="177"/>
      <c r="E34" s="177"/>
      <c r="F34" s="177"/>
      <c r="G34" s="177"/>
      <c r="H34" s="177"/>
      <c r="I34" s="177"/>
      <c r="J34" s="177"/>
      <c r="K34" s="82" t="s">
        <v>49</v>
      </c>
      <c r="L34" s="82"/>
      <c r="M34" s="82"/>
      <c r="N34" s="82"/>
      <c r="O34" s="82"/>
      <c r="P34" s="82"/>
      <c r="Q34" s="83" t="s">
        <v>48</v>
      </c>
      <c r="R34" s="84"/>
      <c r="S34" s="84"/>
      <c r="T34" s="84"/>
      <c r="U34" s="84"/>
      <c r="V34" s="84"/>
      <c r="W34" s="84"/>
      <c r="X34" s="84"/>
      <c r="Y34" s="85"/>
      <c r="Z34" s="23"/>
      <c r="AA34" s="84" t="s">
        <v>47</v>
      </c>
      <c r="AB34" s="84"/>
      <c r="AC34" s="84"/>
      <c r="AD34" s="85"/>
    </row>
    <row r="35" spans="1:30" ht="42.5" customHeight="1" x14ac:dyDescent="0.2">
      <c r="A35" s="88" t="s">
        <v>46</v>
      </c>
      <c r="B35" s="88"/>
      <c r="C35" s="89" t="s">
        <v>45</v>
      </c>
      <c r="D35" s="90"/>
      <c r="E35" s="90"/>
      <c r="F35" s="91"/>
      <c r="G35" s="92" t="s">
        <v>44</v>
      </c>
      <c r="H35" s="92"/>
      <c r="I35" s="92"/>
      <c r="J35" s="92"/>
      <c r="K35" s="92" t="s">
        <v>43</v>
      </c>
      <c r="L35" s="92"/>
      <c r="M35" s="93" t="s">
        <v>42</v>
      </c>
      <c r="N35" s="94"/>
      <c r="O35" s="94"/>
      <c r="P35" s="95"/>
      <c r="Q35" s="92" t="s">
        <v>43</v>
      </c>
      <c r="R35" s="92"/>
      <c r="S35" s="92"/>
      <c r="T35" s="92" t="s">
        <v>42</v>
      </c>
      <c r="U35" s="92"/>
      <c r="V35" s="92"/>
      <c r="W35" s="92"/>
      <c r="X35" s="92"/>
      <c r="Y35" s="92"/>
      <c r="Z35" s="24"/>
      <c r="AA35" s="86"/>
      <c r="AB35" s="86"/>
      <c r="AC35" s="86"/>
      <c r="AD35" s="87"/>
    </row>
    <row r="36" spans="1:30" ht="16.25" customHeight="1" x14ac:dyDescent="0.2">
      <c r="A36" s="49" t="s">
        <v>72</v>
      </c>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1"/>
    </row>
    <row r="37" spans="1:30" ht="57.75" customHeight="1" x14ac:dyDescent="0.2">
      <c r="A37" s="80" t="s">
        <v>107</v>
      </c>
      <c r="B37" s="81"/>
      <c r="C37" s="102" t="s">
        <v>92</v>
      </c>
      <c r="D37" s="103"/>
      <c r="E37" s="103"/>
      <c r="F37" s="104"/>
      <c r="G37" s="191">
        <v>8932882</v>
      </c>
      <c r="H37" s="192"/>
      <c r="I37" s="192"/>
      <c r="J37" s="193"/>
      <c r="K37" s="96" t="s">
        <v>113</v>
      </c>
      <c r="L37" s="97"/>
      <c r="M37" s="96" t="s">
        <v>114</v>
      </c>
      <c r="N37" s="98"/>
      <c r="O37" s="98"/>
      <c r="P37" s="97"/>
      <c r="Q37" s="99">
        <v>41101024302</v>
      </c>
      <c r="R37" s="100"/>
      <c r="S37" s="101"/>
      <c r="T37" s="102" t="s">
        <v>111</v>
      </c>
      <c r="U37" s="103"/>
      <c r="V37" s="103"/>
      <c r="W37" s="103"/>
      <c r="X37" s="103"/>
      <c r="Y37" s="104"/>
      <c r="Z37" s="10"/>
      <c r="AA37" s="105">
        <f>G37</f>
        <v>8932882</v>
      </c>
      <c r="AB37" s="106"/>
      <c r="AC37" s="106"/>
      <c r="AD37" s="107"/>
    </row>
    <row r="38" spans="1:30" ht="57.75" customHeight="1" x14ac:dyDescent="0.2">
      <c r="A38" s="80" t="s">
        <v>107</v>
      </c>
      <c r="B38" s="81"/>
      <c r="C38" s="194" t="s">
        <v>93</v>
      </c>
      <c r="D38" s="195"/>
      <c r="E38" s="195"/>
      <c r="F38" s="196"/>
      <c r="G38" s="191">
        <v>46143076</v>
      </c>
      <c r="H38" s="192"/>
      <c r="I38" s="192"/>
      <c r="J38" s="193"/>
      <c r="K38" s="96" t="s">
        <v>113</v>
      </c>
      <c r="L38" s="97"/>
      <c r="M38" s="96" t="s">
        <v>114</v>
      </c>
      <c r="N38" s="98"/>
      <c r="O38" s="98"/>
      <c r="P38" s="97"/>
      <c r="Q38" s="99">
        <v>41101024302</v>
      </c>
      <c r="R38" s="100"/>
      <c r="S38" s="101"/>
      <c r="T38" s="102" t="s">
        <v>111</v>
      </c>
      <c r="U38" s="103"/>
      <c r="V38" s="103"/>
      <c r="W38" s="103"/>
      <c r="X38" s="103"/>
      <c r="Y38" s="104"/>
      <c r="Z38" s="10"/>
      <c r="AA38" s="105">
        <f>G38</f>
        <v>46143076</v>
      </c>
      <c r="AB38" s="106"/>
      <c r="AC38" s="106"/>
      <c r="AD38" s="107"/>
    </row>
    <row r="39" spans="1:30" ht="58.5" customHeight="1" x14ac:dyDescent="0.2">
      <c r="A39" s="80" t="s">
        <v>107</v>
      </c>
      <c r="B39" s="81"/>
      <c r="C39" s="194" t="s">
        <v>94</v>
      </c>
      <c r="D39" s="195"/>
      <c r="E39" s="195"/>
      <c r="F39" s="196"/>
      <c r="G39" s="191">
        <v>27832194</v>
      </c>
      <c r="H39" s="192"/>
      <c r="I39" s="192"/>
      <c r="J39" s="193"/>
      <c r="K39" s="96" t="s">
        <v>113</v>
      </c>
      <c r="L39" s="97"/>
      <c r="M39" s="96" t="s">
        <v>114</v>
      </c>
      <c r="N39" s="98"/>
      <c r="O39" s="98"/>
      <c r="P39" s="97"/>
      <c r="Q39" s="201">
        <v>41101024302</v>
      </c>
      <c r="R39" s="202"/>
      <c r="S39" s="203"/>
      <c r="T39" s="102" t="s">
        <v>111</v>
      </c>
      <c r="U39" s="103"/>
      <c r="V39" s="103"/>
      <c r="W39" s="103"/>
      <c r="X39" s="103"/>
      <c r="Y39" s="104"/>
      <c r="Z39" s="10"/>
      <c r="AA39" s="105">
        <f t="shared" ref="AA39" si="0">G39</f>
        <v>27832194</v>
      </c>
      <c r="AB39" s="106"/>
      <c r="AC39" s="106"/>
      <c r="AD39" s="107"/>
    </row>
    <row r="40" spans="1:30" ht="53.25" customHeight="1" x14ac:dyDescent="0.2">
      <c r="A40" s="80" t="s">
        <v>107</v>
      </c>
      <c r="B40" s="81"/>
      <c r="C40" s="194" t="s">
        <v>95</v>
      </c>
      <c r="D40" s="195"/>
      <c r="E40" s="195"/>
      <c r="F40" s="196"/>
      <c r="G40" s="191">
        <v>24076095</v>
      </c>
      <c r="H40" s="192"/>
      <c r="I40" s="192"/>
      <c r="J40" s="193"/>
      <c r="K40" s="96" t="s">
        <v>113</v>
      </c>
      <c r="L40" s="97"/>
      <c r="M40" s="96" t="s">
        <v>114</v>
      </c>
      <c r="N40" s="98"/>
      <c r="O40" s="98"/>
      <c r="P40" s="97"/>
      <c r="Q40" s="201">
        <v>41101024302</v>
      </c>
      <c r="R40" s="202"/>
      <c r="S40" s="203"/>
      <c r="T40" s="102" t="s">
        <v>111</v>
      </c>
      <c r="U40" s="103"/>
      <c r="V40" s="103"/>
      <c r="W40" s="103"/>
      <c r="X40" s="103"/>
      <c r="Y40" s="104"/>
      <c r="Z40" s="10"/>
      <c r="AA40" s="105">
        <f t="shared" ref="AA40" si="1">G40</f>
        <v>24076095</v>
      </c>
      <c r="AB40" s="106"/>
      <c r="AC40" s="106"/>
      <c r="AD40" s="107"/>
    </row>
    <row r="41" spans="1:30" ht="51.75" customHeight="1" x14ac:dyDescent="0.2">
      <c r="A41" s="80" t="s">
        <v>107</v>
      </c>
      <c r="B41" s="81"/>
      <c r="C41" s="194" t="s">
        <v>96</v>
      </c>
      <c r="D41" s="195"/>
      <c r="E41" s="195"/>
      <c r="F41" s="196"/>
      <c r="G41" s="191">
        <v>261465831</v>
      </c>
      <c r="H41" s="192"/>
      <c r="I41" s="192"/>
      <c r="J41" s="193"/>
      <c r="K41" s="96" t="s">
        <v>113</v>
      </c>
      <c r="L41" s="97"/>
      <c r="M41" s="96" t="s">
        <v>114</v>
      </c>
      <c r="N41" s="98"/>
      <c r="O41" s="98"/>
      <c r="P41" s="97"/>
      <c r="Q41" s="201">
        <v>41101024302</v>
      </c>
      <c r="R41" s="202"/>
      <c r="S41" s="203"/>
      <c r="T41" s="102" t="s">
        <v>111</v>
      </c>
      <c r="U41" s="103"/>
      <c r="V41" s="103"/>
      <c r="W41" s="103"/>
      <c r="X41" s="103"/>
      <c r="Y41" s="104"/>
      <c r="Z41" s="10"/>
      <c r="AA41" s="105">
        <f t="shared" ref="AA41" si="2">G41</f>
        <v>261465831</v>
      </c>
      <c r="AB41" s="106"/>
      <c r="AC41" s="106"/>
      <c r="AD41" s="107"/>
    </row>
    <row r="42" spans="1:30" ht="51.75" customHeight="1" x14ac:dyDescent="0.2">
      <c r="A42" s="80" t="s">
        <v>107</v>
      </c>
      <c r="B42" s="81"/>
      <c r="C42" s="194" t="s">
        <v>97</v>
      </c>
      <c r="D42" s="195"/>
      <c r="E42" s="195"/>
      <c r="F42" s="196"/>
      <c r="G42" s="191">
        <v>237173933</v>
      </c>
      <c r="H42" s="192"/>
      <c r="I42" s="192"/>
      <c r="J42" s="193"/>
      <c r="K42" s="96" t="s">
        <v>113</v>
      </c>
      <c r="L42" s="97"/>
      <c r="M42" s="96" t="s">
        <v>114</v>
      </c>
      <c r="N42" s="98"/>
      <c r="O42" s="98"/>
      <c r="P42" s="97"/>
      <c r="Q42" s="201">
        <v>41101024302</v>
      </c>
      <c r="R42" s="202"/>
      <c r="S42" s="203"/>
      <c r="T42" s="102" t="s">
        <v>111</v>
      </c>
      <c r="U42" s="103"/>
      <c r="V42" s="103"/>
      <c r="W42" s="103"/>
      <c r="X42" s="103"/>
      <c r="Y42" s="104"/>
      <c r="Z42" s="10"/>
      <c r="AA42" s="105">
        <f t="shared" ref="AA42:AA51" si="3">G42</f>
        <v>237173933</v>
      </c>
      <c r="AB42" s="106"/>
      <c r="AC42" s="106"/>
      <c r="AD42" s="107"/>
    </row>
    <row r="43" spans="1:30" ht="51.75" customHeight="1" x14ac:dyDescent="0.2">
      <c r="A43" s="80" t="s">
        <v>107</v>
      </c>
      <c r="B43" s="81"/>
      <c r="C43" s="194" t="s">
        <v>98</v>
      </c>
      <c r="D43" s="195"/>
      <c r="E43" s="195"/>
      <c r="F43" s="196"/>
      <c r="G43" s="191">
        <v>6731936</v>
      </c>
      <c r="H43" s="192"/>
      <c r="I43" s="192"/>
      <c r="J43" s="193"/>
      <c r="K43" s="96" t="s">
        <v>113</v>
      </c>
      <c r="L43" s="97"/>
      <c r="M43" s="96" t="s">
        <v>114</v>
      </c>
      <c r="N43" s="98"/>
      <c r="O43" s="98"/>
      <c r="P43" s="97"/>
      <c r="Q43" s="201">
        <v>41101024302</v>
      </c>
      <c r="R43" s="202"/>
      <c r="S43" s="203"/>
      <c r="T43" s="102" t="s">
        <v>111</v>
      </c>
      <c r="U43" s="103"/>
      <c r="V43" s="103"/>
      <c r="W43" s="103"/>
      <c r="X43" s="103"/>
      <c r="Y43" s="104"/>
      <c r="Z43" s="10"/>
      <c r="AA43" s="105">
        <f t="shared" si="3"/>
        <v>6731936</v>
      </c>
      <c r="AB43" s="106"/>
      <c r="AC43" s="106"/>
      <c r="AD43" s="107"/>
    </row>
    <row r="44" spans="1:30" ht="51.75" customHeight="1" x14ac:dyDescent="0.2">
      <c r="A44" s="80" t="s">
        <v>107</v>
      </c>
      <c r="B44" s="81"/>
      <c r="C44" s="194" t="s">
        <v>99</v>
      </c>
      <c r="D44" s="195"/>
      <c r="E44" s="195"/>
      <c r="F44" s="196"/>
      <c r="G44" s="191">
        <v>11068779</v>
      </c>
      <c r="H44" s="192"/>
      <c r="I44" s="192"/>
      <c r="J44" s="193"/>
      <c r="K44" s="96" t="s">
        <v>113</v>
      </c>
      <c r="L44" s="97"/>
      <c r="M44" s="96" t="s">
        <v>114</v>
      </c>
      <c r="N44" s="98"/>
      <c r="O44" s="98"/>
      <c r="P44" s="97"/>
      <c r="Q44" s="201">
        <v>41101024302</v>
      </c>
      <c r="R44" s="202"/>
      <c r="S44" s="203"/>
      <c r="T44" s="102" t="s">
        <v>111</v>
      </c>
      <c r="U44" s="103"/>
      <c r="V44" s="103"/>
      <c r="W44" s="103"/>
      <c r="X44" s="103"/>
      <c r="Y44" s="104"/>
      <c r="Z44" s="10"/>
      <c r="AA44" s="105">
        <f t="shared" si="3"/>
        <v>11068779</v>
      </c>
      <c r="AB44" s="106"/>
      <c r="AC44" s="106"/>
      <c r="AD44" s="107"/>
    </row>
    <row r="45" spans="1:30" ht="51.75" customHeight="1" x14ac:dyDescent="0.2">
      <c r="A45" s="80" t="s">
        <v>107</v>
      </c>
      <c r="B45" s="81"/>
      <c r="C45" s="194" t="s">
        <v>100</v>
      </c>
      <c r="D45" s="195"/>
      <c r="E45" s="195"/>
      <c r="F45" s="196"/>
      <c r="G45" s="191">
        <v>264308099</v>
      </c>
      <c r="H45" s="192"/>
      <c r="I45" s="192"/>
      <c r="J45" s="193"/>
      <c r="K45" s="96" t="s">
        <v>113</v>
      </c>
      <c r="L45" s="97"/>
      <c r="M45" s="96" t="s">
        <v>114</v>
      </c>
      <c r="N45" s="98"/>
      <c r="O45" s="98"/>
      <c r="P45" s="97"/>
      <c r="Q45" s="201">
        <v>41101024302</v>
      </c>
      <c r="R45" s="202"/>
      <c r="S45" s="203"/>
      <c r="T45" s="102" t="s">
        <v>111</v>
      </c>
      <c r="U45" s="103"/>
      <c r="V45" s="103"/>
      <c r="W45" s="103"/>
      <c r="X45" s="103"/>
      <c r="Y45" s="104"/>
      <c r="Z45" s="10"/>
      <c r="AA45" s="105">
        <f t="shared" si="3"/>
        <v>264308099</v>
      </c>
      <c r="AB45" s="106"/>
      <c r="AC45" s="106"/>
      <c r="AD45" s="107"/>
    </row>
    <row r="46" spans="1:30" ht="51.75" customHeight="1" x14ac:dyDescent="0.2">
      <c r="A46" s="80" t="s">
        <v>107</v>
      </c>
      <c r="B46" s="81"/>
      <c r="C46" s="194" t="s">
        <v>101</v>
      </c>
      <c r="D46" s="195"/>
      <c r="E46" s="195"/>
      <c r="F46" s="196"/>
      <c r="G46" s="191">
        <v>2973743581</v>
      </c>
      <c r="H46" s="192"/>
      <c r="I46" s="192"/>
      <c r="J46" s="193"/>
      <c r="K46" s="96" t="s">
        <v>113</v>
      </c>
      <c r="L46" s="97"/>
      <c r="M46" s="96" t="s">
        <v>114</v>
      </c>
      <c r="N46" s="98"/>
      <c r="O46" s="98"/>
      <c r="P46" s="97"/>
      <c r="Q46" s="201">
        <v>41101024302</v>
      </c>
      <c r="R46" s="202"/>
      <c r="S46" s="203"/>
      <c r="T46" s="102" t="s">
        <v>111</v>
      </c>
      <c r="U46" s="103"/>
      <c r="V46" s="103"/>
      <c r="W46" s="103"/>
      <c r="X46" s="103"/>
      <c r="Y46" s="104"/>
      <c r="Z46" s="10"/>
      <c r="AA46" s="105">
        <f t="shared" si="3"/>
        <v>2973743581</v>
      </c>
      <c r="AB46" s="106"/>
      <c r="AC46" s="106"/>
      <c r="AD46" s="107"/>
    </row>
    <row r="47" spans="1:30" ht="51.75" customHeight="1" x14ac:dyDescent="0.2">
      <c r="A47" s="80" t="s">
        <v>107</v>
      </c>
      <c r="B47" s="81"/>
      <c r="C47" s="194" t="s">
        <v>102</v>
      </c>
      <c r="D47" s="195"/>
      <c r="E47" s="195"/>
      <c r="F47" s="196"/>
      <c r="G47" s="191">
        <v>36063800</v>
      </c>
      <c r="H47" s="192"/>
      <c r="I47" s="192"/>
      <c r="J47" s="193"/>
      <c r="K47" s="96" t="s">
        <v>113</v>
      </c>
      <c r="L47" s="97"/>
      <c r="M47" s="96" t="s">
        <v>114</v>
      </c>
      <c r="N47" s="98"/>
      <c r="O47" s="98"/>
      <c r="P47" s="97"/>
      <c r="Q47" s="201">
        <v>41101024302</v>
      </c>
      <c r="R47" s="202"/>
      <c r="S47" s="203"/>
      <c r="T47" s="102" t="s">
        <v>111</v>
      </c>
      <c r="U47" s="103"/>
      <c r="V47" s="103"/>
      <c r="W47" s="103"/>
      <c r="X47" s="103"/>
      <c r="Y47" s="104"/>
      <c r="Z47" s="10"/>
      <c r="AA47" s="105">
        <f t="shared" si="3"/>
        <v>36063800</v>
      </c>
      <c r="AB47" s="106"/>
      <c r="AC47" s="106"/>
      <c r="AD47" s="107"/>
    </row>
    <row r="48" spans="1:30" ht="51.75" customHeight="1" x14ac:dyDescent="0.2">
      <c r="A48" s="80" t="s">
        <v>107</v>
      </c>
      <c r="B48" s="81"/>
      <c r="C48" s="194" t="s">
        <v>103</v>
      </c>
      <c r="D48" s="195"/>
      <c r="E48" s="195"/>
      <c r="F48" s="196"/>
      <c r="G48" s="191">
        <v>581003664</v>
      </c>
      <c r="H48" s="192"/>
      <c r="I48" s="192"/>
      <c r="J48" s="193"/>
      <c r="K48" s="96" t="s">
        <v>113</v>
      </c>
      <c r="L48" s="97"/>
      <c r="M48" s="96" t="s">
        <v>114</v>
      </c>
      <c r="N48" s="98"/>
      <c r="O48" s="98"/>
      <c r="P48" s="97"/>
      <c r="Q48" s="201">
        <v>41101024302</v>
      </c>
      <c r="R48" s="202"/>
      <c r="S48" s="203"/>
      <c r="T48" s="102" t="s">
        <v>111</v>
      </c>
      <c r="U48" s="103"/>
      <c r="V48" s="103"/>
      <c r="W48" s="103"/>
      <c r="X48" s="103"/>
      <c r="Y48" s="104"/>
      <c r="Z48" s="10"/>
      <c r="AA48" s="105">
        <f t="shared" si="3"/>
        <v>581003664</v>
      </c>
      <c r="AB48" s="106"/>
      <c r="AC48" s="106"/>
      <c r="AD48" s="107"/>
    </row>
    <row r="49" spans="1:42" ht="51.75" customHeight="1" x14ac:dyDescent="0.2">
      <c r="A49" s="80" t="s">
        <v>107</v>
      </c>
      <c r="B49" s="81"/>
      <c r="C49" s="194" t="s">
        <v>104</v>
      </c>
      <c r="D49" s="195"/>
      <c r="E49" s="195"/>
      <c r="F49" s="196"/>
      <c r="G49" s="191">
        <v>45880182</v>
      </c>
      <c r="H49" s="192"/>
      <c r="I49" s="192"/>
      <c r="J49" s="193"/>
      <c r="K49" s="96" t="s">
        <v>113</v>
      </c>
      <c r="L49" s="97"/>
      <c r="M49" s="96" t="s">
        <v>114</v>
      </c>
      <c r="N49" s="98"/>
      <c r="O49" s="98"/>
      <c r="P49" s="97"/>
      <c r="Q49" s="201">
        <v>41101024302</v>
      </c>
      <c r="R49" s="202"/>
      <c r="S49" s="203"/>
      <c r="T49" s="102" t="s">
        <v>111</v>
      </c>
      <c r="U49" s="103"/>
      <c r="V49" s="103"/>
      <c r="W49" s="103"/>
      <c r="X49" s="103"/>
      <c r="Y49" s="104"/>
      <c r="Z49" s="10"/>
      <c r="AA49" s="105">
        <f t="shared" si="3"/>
        <v>45880182</v>
      </c>
      <c r="AB49" s="106"/>
      <c r="AC49" s="106"/>
      <c r="AD49" s="107"/>
    </row>
    <row r="50" spans="1:42" ht="51.75" customHeight="1" x14ac:dyDescent="0.2">
      <c r="A50" s="80" t="s">
        <v>107</v>
      </c>
      <c r="B50" s="81"/>
      <c r="C50" s="194" t="s">
        <v>105</v>
      </c>
      <c r="D50" s="195"/>
      <c r="E50" s="195"/>
      <c r="F50" s="196"/>
      <c r="G50" s="191">
        <v>84357909</v>
      </c>
      <c r="H50" s="192"/>
      <c r="I50" s="192"/>
      <c r="J50" s="193"/>
      <c r="K50" s="96" t="s">
        <v>113</v>
      </c>
      <c r="L50" s="97"/>
      <c r="M50" s="96" t="s">
        <v>114</v>
      </c>
      <c r="N50" s="98"/>
      <c r="O50" s="98"/>
      <c r="P50" s="97"/>
      <c r="Q50" s="201">
        <v>41101024302</v>
      </c>
      <c r="R50" s="202"/>
      <c r="S50" s="203"/>
      <c r="T50" s="102" t="s">
        <v>111</v>
      </c>
      <c r="U50" s="103"/>
      <c r="V50" s="103"/>
      <c r="W50" s="103"/>
      <c r="X50" s="103"/>
      <c r="Y50" s="104"/>
      <c r="Z50" s="10"/>
      <c r="AA50" s="105">
        <f t="shared" si="3"/>
        <v>84357909</v>
      </c>
      <c r="AB50" s="106"/>
      <c r="AC50" s="106"/>
      <c r="AD50" s="107"/>
    </row>
    <row r="51" spans="1:42" ht="51.75" customHeight="1" x14ac:dyDescent="0.2">
      <c r="A51" s="80" t="s">
        <v>107</v>
      </c>
      <c r="B51" s="81"/>
      <c r="C51" s="102" t="s">
        <v>106</v>
      </c>
      <c r="D51" s="103"/>
      <c r="E51" s="103"/>
      <c r="F51" s="104"/>
      <c r="G51" s="191">
        <v>54581655</v>
      </c>
      <c r="H51" s="192"/>
      <c r="I51" s="192"/>
      <c r="J51" s="193"/>
      <c r="K51" s="96" t="s">
        <v>113</v>
      </c>
      <c r="L51" s="97"/>
      <c r="M51" s="96" t="s">
        <v>114</v>
      </c>
      <c r="N51" s="98"/>
      <c r="O51" s="98"/>
      <c r="P51" s="97"/>
      <c r="Q51" s="201">
        <v>41101024302</v>
      </c>
      <c r="R51" s="202"/>
      <c r="S51" s="203"/>
      <c r="T51" s="102" t="s">
        <v>111</v>
      </c>
      <c r="U51" s="103"/>
      <c r="V51" s="103"/>
      <c r="W51" s="103"/>
      <c r="X51" s="103"/>
      <c r="Y51" s="104"/>
      <c r="Z51" s="10"/>
      <c r="AA51" s="105">
        <f t="shared" si="3"/>
        <v>54581655</v>
      </c>
      <c r="AB51" s="106"/>
      <c r="AC51" s="106"/>
      <c r="AD51" s="107"/>
    </row>
    <row r="52" spans="1:42" ht="51.75" customHeight="1" x14ac:dyDescent="0.2">
      <c r="A52" s="80" t="s">
        <v>107</v>
      </c>
      <c r="B52" s="81"/>
      <c r="C52" s="102" t="s">
        <v>115</v>
      </c>
      <c r="D52" s="103"/>
      <c r="E52" s="103"/>
      <c r="F52" s="104"/>
      <c r="G52" s="191">
        <v>119967923</v>
      </c>
      <c r="H52" s="192"/>
      <c r="I52" s="192"/>
      <c r="J52" s="193"/>
      <c r="K52" s="96" t="s">
        <v>113</v>
      </c>
      <c r="L52" s="97"/>
      <c r="M52" s="96" t="s">
        <v>114</v>
      </c>
      <c r="N52" s="98"/>
      <c r="O52" s="98"/>
      <c r="P52" s="97"/>
      <c r="Q52" s="201">
        <v>41101024302</v>
      </c>
      <c r="R52" s="202"/>
      <c r="S52" s="203"/>
      <c r="T52" s="102" t="s">
        <v>111</v>
      </c>
      <c r="U52" s="103"/>
      <c r="V52" s="103"/>
      <c r="W52" s="103"/>
      <c r="X52" s="103"/>
      <c r="Y52" s="104"/>
      <c r="Z52" s="10"/>
      <c r="AA52" s="105">
        <f t="shared" ref="AA52" si="4">G52</f>
        <v>119967923</v>
      </c>
      <c r="AB52" s="106"/>
      <c r="AC52" s="106"/>
      <c r="AD52" s="107"/>
    </row>
    <row r="53" spans="1:42" ht="14.75" customHeight="1" x14ac:dyDescent="0.2">
      <c r="A53" s="10"/>
      <c r="B53" s="10"/>
      <c r="C53" s="10"/>
      <c r="D53" s="10"/>
      <c r="E53" s="10"/>
      <c r="F53" s="10"/>
      <c r="G53" s="197"/>
      <c r="H53" s="197"/>
      <c r="I53" s="197"/>
      <c r="J53" s="197"/>
      <c r="K53" s="10"/>
      <c r="L53" s="10"/>
      <c r="M53" s="10"/>
      <c r="N53" s="10"/>
      <c r="O53" s="10"/>
      <c r="P53" s="10"/>
      <c r="Q53" s="10"/>
      <c r="R53" s="10"/>
      <c r="S53" s="10"/>
      <c r="T53" s="10"/>
      <c r="U53" s="10"/>
      <c r="V53" s="10"/>
      <c r="W53" s="10"/>
      <c r="X53" s="10"/>
      <c r="Y53" s="10"/>
      <c r="Z53" s="10"/>
      <c r="AA53" s="10"/>
      <c r="AB53" s="10"/>
      <c r="AC53" s="10"/>
      <c r="AD53" s="10"/>
    </row>
    <row r="54" spans="1:42" ht="12" customHeight="1" x14ac:dyDescent="0.2">
      <c r="A54" s="200" t="s">
        <v>41</v>
      </c>
      <c r="B54" s="163"/>
      <c r="C54" s="163"/>
      <c r="D54" s="163"/>
      <c r="E54" s="163"/>
      <c r="F54" s="163"/>
      <c r="G54" s="163"/>
      <c r="H54" s="163"/>
      <c r="I54" s="163"/>
      <c r="J54" s="163"/>
      <c r="K54" s="163"/>
      <c r="L54" s="163"/>
      <c r="M54" s="163"/>
      <c r="N54" s="163"/>
      <c r="O54" s="163"/>
      <c r="P54" s="163"/>
      <c r="Q54" s="163"/>
      <c r="R54" s="163"/>
      <c r="S54" s="164"/>
      <c r="T54" s="162" t="s">
        <v>40</v>
      </c>
      <c r="U54" s="163"/>
      <c r="V54" s="163"/>
      <c r="W54" s="163"/>
      <c r="X54" s="163"/>
      <c r="Y54" s="163"/>
      <c r="Z54" s="163"/>
      <c r="AA54" s="163"/>
      <c r="AB54" s="163"/>
      <c r="AC54" s="163"/>
      <c r="AD54" s="164"/>
    </row>
    <row r="55" spans="1:42" ht="6" customHeight="1" x14ac:dyDescent="0.2">
      <c r="A55" s="165"/>
      <c r="B55" s="166"/>
      <c r="C55" s="166"/>
      <c r="D55" s="166"/>
      <c r="E55" s="166"/>
      <c r="F55" s="166"/>
      <c r="G55" s="166"/>
      <c r="H55" s="166"/>
      <c r="I55" s="166"/>
      <c r="J55" s="166"/>
      <c r="K55" s="166"/>
      <c r="L55" s="166"/>
      <c r="M55" s="166"/>
      <c r="N55" s="166"/>
      <c r="O55" s="166"/>
      <c r="P55" s="166"/>
      <c r="Q55" s="166"/>
      <c r="R55" s="166"/>
      <c r="S55" s="167"/>
      <c r="T55" s="165"/>
      <c r="U55" s="166"/>
      <c r="V55" s="166"/>
      <c r="W55" s="166"/>
      <c r="X55" s="166"/>
      <c r="Y55" s="166"/>
      <c r="Z55" s="166"/>
      <c r="AA55" s="166"/>
      <c r="AB55" s="166"/>
      <c r="AC55" s="166"/>
      <c r="AD55" s="167"/>
    </row>
    <row r="56" spans="1:42" ht="45.75" customHeight="1" x14ac:dyDescent="0.2">
      <c r="A56" s="168" t="s">
        <v>112</v>
      </c>
      <c r="B56" s="169"/>
      <c r="C56" s="169"/>
      <c r="D56" s="169"/>
      <c r="E56" s="169"/>
      <c r="F56" s="169"/>
      <c r="G56" s="169"/>
      <c r="H56" s="169"/>
      <c r="I56" s="169"/>
      <c r="J56" s="169"/>
      <c r="K56" s="169"/>
      <c r="L56" s="169"/>
      <c r="M56" s="169"/>
      <c r="N56" s="169"/>
      <c r="O56" s="169"/>
      <c r="P56" s="169"/>
      <c r="Q56" s="169"/>
      <c r="R56" s="169"/>
      <c r="S56" s="170"/>
      <c r="T56" s="171">
        <f>SUM(AA37:AD52)</f>
        <v>4783331539</v>
      </c>
      <c r="U56" s="172"/>
      <c r="V56" s="172"/>
      <c r="W56" s="172"/>
      <c r="X56" s="172"/>
      <c r="Y56" s="172"/>
      <c r="Z56" s="172"/>
      <c r="AA56" s="172"/>
      <c r="AB56" s="172"/>
      <c r="AC56" s="172"/>
      <c r="AD56" s="173"/>
      <c r="AF56" s="4"/>
      <c r="AG56" s="4"/>
      <c r="AH56" s="4"/>
      <c r="AI56" s="4"/>
      <c r="AJ56" s="4"/>
      <c r="AK56" s="4"/>
      <c r="AL56" s="4"/>
      <c r="AM56" s="4"/>
      <c r="AN56" s="4"/>
      <c r="AO56" s="4"/>
      <c r="AP56" s="4"/>
    </row>
    <row r="57" spans="1:42" ht="17.5" customHeight="1" x14ac:dyDescent="0.2">
      <c r="A57" s="57" t="s">
        <v>39</v>
      </c>
      <c r="B57" s="57"/>
      <c r="C57" s="57"/>
      <c r="D57" s="57"/>
      <c r="E57" s="57"/>
      <c r="F57" s="25" t="s">
        <v>38</v>
      </c>
      <c r="G57" s="26"/>
      <c r="H57" s="26"/>
      <c r="I57" s="26"/>
      <c r="J57" s="26"/>
      <c r="K57" s="26"/>
      <c r="L57" s="27" t="s">
        <v>37</v>
      </c>
      <c r="M57" s="26"/>
      <c r="N57" s="26"/>
      <c r="O57" s="26"/>
      <c r="P57" s="26"/>
      <c r="Q57" s="28" t="s">
        <v>36</v>
      </c>
      <c r="R57" s="26"/>
      <c r="S57" s="26"/>
      <c r="T57" s="26"/>
      <c r="U57" s="26"/>
      <c r="V57" s="26"/>
      <c r="W57" s="26"/>
      <c r="X57" s="26"/>
      <c r="Y57" s="26"/>
      <c r="Z57" s="26"/>
      <c r="AA57" s="26"/>
      <c r="AB57" s="26"/>
      <c r="AC57" s="26"/>
      <c r="AD57" s="29"/>
    </row>
    <row r="58" spans="1:42" ht="15" customHeight="1" x14ac:dyDescent="0.2">
      <c r="A58" s="57"/>
      <c r="B58" s="57"/>
      <c r="C58" s="57"/>
      <c r="D58" s="57"/>
      <c r="E58" s="57"/>
      <c r="F58" s="30"/>
      <c r="G58" s="10"/>
      <c r="H58" s="10"/>
      <c r="I58" s="10"/>
      <c r="J58" s="10"/>
      <c r="K58" s="10"/>
      <c r="L58" s="120"/>
      <c r="M58" s="121"/>
      <c r="N58" s="122"/>
      <c r="O58" s="10"/>
      <c r="P58" s="10"/>
      <c r="Q58" s="123" t="s">
        <v>73</v>
      </c>
      <c r="R58" s="123"/>
      <c r="S58" s="123"/>
      <c r="T58" s="123"/>
      <c r="U58" s="123"/>
      <c r="V58" s="123"/>
      <c r="W58" s="123"/>
      <c r="X58" s="123"/>
      <c r="Y58" s="123"/>
      <c r="Z58" s="123"/>
      <c r="AA58" s="123"/>
      <c r="AB58" s="123"/>
      <c r="AC58" s="123"/>
      <c r="AD58" s="31"/>
    </row>
    <row r="59" spans="1:42" ht="15" customHeight="1" x14ac:dyDescent="0.2">
      <c r="A59" s="57"/>
      <c r="B59" s="57"/>
      <c r="C59" s="57"/>
      <c r="D59" s="57"/>
      <c r="E59" s="57"/>
      <c r="F59" s="30"/>
      <c r="G59" s="198">
        <v>12962</v>
      </c>
      <c r="H59" s="124"/>
      <c r="I59" s="125"/>
      <c r="J59" s="10"/>
      <c r="K59" s="10"/>
      <c r="L59" s="27" t="s">
        <v>35</v>
      </c>
      <c r="M59" s="10"/>
      <c r="N59" s="10"/>
      <c r="O59" s="10"/>
      <c r="P59" s="10"/>
      <c r="Q59" s="123"/>
      <c r="R59" s="123"/>
      <c r="S59" s="123"/>
      <c r="T59" s="123"/>
      <c r="U59" s="123"/>
      <c r="V59" s="123"/>
      <c r="W59" s="123"/>
      <c r="X59" s="123"/>
      <c r="Y59" s="123"/>
      <c r="Z59" s="123"/>
      <c r="AA59" s="123"/>
      <c r="AB59" s="123"/>
      <c r="AC59" s="123"/>
      <c r="AD59" s="31"/>
    </row>
    <row r="60" spans="1:42" ht="15.75" customHeight="1" x14ac:dyDescent="0.2">
      <c r="A60" s="57"/>
      <c r="B60" s="57"/>
      <c r="C60" s="57"/>
      <c r="D60" s="57"/>
      <c r="E60" s="57"/>
      <c r="F60" s="30"/>
      <c r="G60" s="10"/>
      <c r="H60" s="10"/>
      <c r="I60" s="10"/>
      <c r="J60" s="10"/>
      <c r="K60" s="10"/>
      <c r="L60" s="120"/>
      <c r="M60" s="121"/>
      <c r="N60" s="122"/>
      <c r="O60" s="10"/>
      <c r="P60" s="10"/>
      <c r="Q60" s="123"/>
      <c r="R60" s="123"/>
      <c r="S60" s="123"/>
      <c r="T60" s="123"/>
      <c r="U60" s="123"/>
      <c r="V60" s="123"/>
      <c r="W60" s="123"/>
      <c r="X60" s="123"/>
      <c r="Y60" s="123"/>
      <c r="Z60" s="123"/>
      <c r="AA60" s="123"/>
      <c r="AB60" s="123"/>
      <c r="AC60" s="123"/>
      <c r="AD60" s="31"/>
    </row>
    <row r="61" spans="1:42" ht="12" customHeight="1" x14ac:dyDescent="0.2">
      <c r="A61" s="57"/>
      <c r="B61" s="57"/>
      <c r="C61" s="57"/>
      <c r="D61" s="57"/>
      <c r="E61" s="57"/>
      <c r="F61" s="30"/>
      <c r="G61" s="42" t="s">
        <v>34</v>
      </c>
      <c r="H61" s="10"/>
      <c r="I61" s="10"/>
      <c r="J61" s="10"/>
      <c r="K61" s="10"/>
      <c r="L61" s="10"/>
      <c r="M61" s="10"/>
      <c r="N61" s="10"/>
      <c r="O61" s="10"/>
      <c r="P61" s="10"/>
      <c r="Q61" s="10"/>
      <c r="R61" s="10"/>
      <c r="S61" s="10"/>
      <c r="T61" s="10"/>
      <c r="U61" s="10"/>
      <c r="V61" s="10"/>
      <c r="W61" s="10"/>
      <c r="X61" s="10"/>
      <c r="Y61" s="10"/>
      <c r="Z61" s="10"/>
      <c r="AA61" s="10"/>
      <c r="AB61" s="10"/>
      <c r="AC61" s="10"/>
      <c r="AD61" s="31"/>
    </row>
    <row r="62" spans="1:42" ht="20.5" customHeight="1" x14ac:dyDescent="0.2">
      <c r="A62" s="57"/>
      <c r="B62" s="57"/>
      <c r="C62" s="57"/>
      <c r="D62" s="57"/>
      <c r="E62" s="57"/>
      <c r="F62" s="43"/>
      <c r="G62" s="126" t="s">
        <v>108</v>
      </c>
      <c r="H62" s="126"/>
      <c r="I62" s="126"/>
      <c r="J62" s="126"/>
      <c r="K62" s="126"/>
      <c r="L62" s="126"/>
      <c r="M62" s="126"/>
      <c r="N62" s="126"/>
      <c r="O62" s="126"/>
      <c r="P62" s="126"/>
      <c r="Q62" s="126"/>
      <c r="R62" s="126"/>
      <c r="S62" s="126"/>
      <c r="T62" s="126"/>
      <c r="U62" s="126"/>
      <c r="V62" s="126"/>
      <c r="W62" s="126"/>
      <c r="X62" s="126"/>
      <c r="Y62" s="126"/>
      <c r="Z62" s="126"/>
      <c r="AA62" s="126"/>
      <c r="AB62" s="126"/>
      <c r="AC62" s="126"/>
      <c r="AD62" s="44"/>
    </row>
    <row r="63" spans="1:42" ht="8.5" customHeight="1" x14ac:dyDescent="0.2">
      <c r="A63" s="32"/>
      <c r="B63" s="32"/>
      <c r="C63" s="32"/>
      <c r="D63" s="32"/>
      <c r="E63" s="32"/>
      <c r="F63" s="10"/>
      <c r="G63" s="33"/>
      <c r="H63" s="33"/>
      <c r="I63" s="33"/>
      <c r="J63" s="33"/>
      <c r="K63" s="33"/>
      <c r="L63" s="33"/>
      <c r="M63" s="33"/>
      <c r="N63" s="33"/>
      <c r="O63" s="33"/>
      <c r="P63" s="33"/>
      <c r="Q63" s="33"/>
      <c r="R63" s="33"/>
      <c r="S63" s="33"/>
      <c r="T63" s="33"/>
      <c r="U63" s="33"/>
      <c r="V63" s="33"/>
      <c r="W63" s="33"/>
      <c r="X63" s="33"/>
      <c r="Y63" s="33"/>
      <c r="Z63" s="33"/>
      <c r="AA63" s="33"/>
      <c r="AB63" s="33"/>
      <c r="AC63" s="33"/>
      <c r="AD63" s="10"/>
    </row>
    <row r="64" spans="1:42" ht="15.5" customHeight="1" x14ac:dyDescent="0.2">
      <c r="A64" s="127" t="s">
        <v>33</v>
      </c>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row>
    <row r="65" spans="1:30" ht="5.25" customHeight="1" x14ac:dyDescent="0.2">
      <c r="A65" s="32"/>
      <c r="B65" s="32"/>
      <c r="C65" s="32"/>
      <c r="D65" s="32"/>
      <c r="E65" s="32"/>
      <c r="F65" s="10"/>
      <c r="G65" s="33"/>
      <c r="H65" s="33"/>
      <c r="I65" s="33"/>
      <c r="J65" s="33"/>
      <c r="K65" s="33"/>
      <c r="L65" s="33"/>
      <c r="M65" s="33"/>
      <c r="N65" s="33"/>
      <c r="O65" s="33"/>
      <c r="P65" s="33"/>
      <c r="Q65" s="33"/>
      <c r="R65" s="33"/>
      <c r="S65" s="33"/>
      <c r="T65" s="33"/>
      <c r="U65" s="33"/>
      <c r="V65" s="33"/>
      <c r="W65" s="33"/>
      <c r="X65" s="33"/>
      <c r="Y65" s="33"/>
      <c r="Z65" s="33"/>
      <c r="AA65" s="33"/>
      <c r="AB65" s="33"/>
      <c r="AC65" s="33"/>
      <c r="AD65" s="10"/>
    </row>
    <row r="66" spans="1:30" x14ac:dyDescent="0.2">
      <c r="A66" s="108" t="s">
        <v>32</v>
      </c>
      <c r="B66" s="108"/>
      <c r="C66" s="108"/>
      <c r="D66" s="108"/>
      <c r="E66" s="108"/>
      <c r="F66" s="108"/>
      <c r="G66" s="108"/>
      <c r="H66" s="108"/>
      <c r="I66" s="108"/>
      <c r="J66" s="108"/>
      <c r="K66" s="108"/>
      <c r="L66" s="108"/>
      <c r="M66" s="33"/>
      <c r="N66" s="33"/>
      <c r="O66" s="33"/>
      <c r="P66" s="33"/>
      <c r="Q66" s="33"/>
      <c r="R66" s="33"/>
      <c r="S66" s="33"/>
      <c r="T66" s="33"/>
      <c r="U66" s="33"/>
      <c r="V66" s="33"/>
      <c r="W66" s="33"/>
      <c r="X66" s="33"/>
      <c r="Y66" s="33"/>
      <c r="Z66" s="33"/>
      <c r="AA66" s="33"/>
      <c r="AB66" s="33"/>
      <c r="AC66" s="33"/>
      <c r="AD66" s="10"/>
    </row>
    <row r="67" spans="1:30" ht="10.5" customHeight="1" thickBot="1" x14ac:dyDescent="0.25">
      <c r="A67" s="32"/>
      <c r="B67" s="32"/>
      <c r="C67" s="32"/>
      <c r="D67" s="32"/>
      <c r="E67" s="32"/>
      <c r="F67" s="10"/>
      <c r="G67" s="33"/>
      <c r="H67" s="33"/>
      <c r="I67" s="33"/>
      <c r="J67" s="33"/>
      <c r="K67" s="33"/>
      <c r="L67" s="33"/>
      <c r="M67" s="33"/>
      <c r="N67" s="33"/>
      <c r="O67" s="33"/>
      <c r="P67" s="33"/>
      <c r="Q67" s="33"/>
      <c r="R67" s="33"/>
      <c r="S67" s="33"/>
      <c r="T67" s="33"/>
      <c r="U67" s="33"/>
      <c r="V67" s="33"/>
      <c r="W67" s="33"/>
      <c r="X67" s="33"/>
      <c r="Y67" s="33"/>
      <c r="Z67" s="33"/>
      <c r="AA67" s="33"/>
      <c r="AB67" s="33"/>
      <c r="AC67" s="33"/>
      <c r="AD67" s="10"/>
    </row>
    <row r="68" spans="1:30" ht="17" thickBot="1" x14ac:dyDescent="0.25">
      <c r="A68" s="109" t="s">
        <v>31</v>
      </c>
      <c r="B68" s="110"/>
      <c r="C68" s="111"/>
      <c r="D68" s="34"/>
      <c r="E68" s="109" t="s">
        <v>30</v>
      </c>
      <c r="F68" s="110"/>
      <c r="G68" s="110"/>
      <c r="H68" s="111"/>
      <c r="I68" s="35"/>
      <c r="J68" s="112" t="s">
        <v>29</v>
      </c>
      <c r="K68" s="113"/>
      <c r="L68" s="113"/>
      <c r="M68" s="113"/>
      <c r="N68" s="113"/>
      <c r="O68" s="113"/>
      <c r="P68" s="114"/>
      <c r="Q68" s="115"/>
      <c r="R68" s="116"/>
      <c r="S68" s="117" t="s">
        <v>28</v>
      </c>
      <c r="T68" s="118"/>
      <c r="U68" s="118"/>
      <c r="V68" s="118"/>
      <c r="W68" s="118"/>
      <c r="X68" s="119"/>
      <c r="Y68" s="35" t="s">
        <v>27</v>
      </c>
      <c r="Z68" s="33"/>
      <c r="AA68" s="33"/>
      <c r="AB68" s="33"/>
      <c r="AC68" s="33"/>
      <c r="AD68" s="10"/>
    </row>
    <row r="69" spans="1:30" x14ac:dyDescent="0.2">
      <c r="A69" s="36"/>
      <c r="B69" s="36"/>
      <c r="C69" s="36"/>
      <c r="D69" s="37"/>
      <c r="E69" s="36"/>
      <c r="F69" s="36"/>
      <c r="G69" s="36"/>
      <c r="H69" s="36"/>
      <c r="I69" s="33"/>
      <c r="J69" s="33"/>
      <c r="K69" s="33"/>
      <c r="L69" s="33"/>
      <c r="M69" s="33"/>
      <c r="N69" s="33"/>
      <c r="O69" s="33"/>
      <c r="P69" s="33"/>
      <c r="Q69" s="33"/>
      <c r="R69" s="33"/>
      <c r="S69" s="33"/>
      <c r="T69" s="33"/>
      <c r="U69" s="33"/>
      <c r="V69" s="33"/>
      <c r="W69" s="33"/>
      <c r="X69" s="33"/>
      <c r="Y69" s="33"/>
      <c r="Z69" s="33"/>
      <c r="AA69" s="33"/>
      <c r="AB69" s="33"/>
      <c r="AC69" s="33"/>
      <c r="AD69" s="10"/>
    </row>
    <row r="70" spans="1:30" ht="10.5" customHeight="1" x14ac:dyDescent="0.2">
      <c r="A70" s="130" t="s">
        <v>26</v>
      </c>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row>
    <row r="71" spans="1:30" ht="6"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spans="1:30" ht="17" customHeight="1" x14ac:dyDescent="0.2">
      <c r="A72" s="131" t="s">
        <v>25</v>
      </c>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row>
    <row r="73" spans="1:30" ht="8.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spans="1:30" ht="27" customHeight="1" x14ac:dyDescent="0.2">
      <c r="A74" s="132" t="s">
        <v>24</v>
      </c>
      <c r="B74" s="132"/>
      <c r="C74" s="132"/>
      <c r="D74" s="132"/>
      <c r="E74" s="133" t="s">
        <v>23</v>
      </c>
      <c r="F74" s="133"/>
      <c r="G74" s="133" t="s">
        <v>22</v>
      </c>
      <c r="H74" s="133"/>
      <c r="I74" s="133" t="s">
        <v>21</v>
      </c>
      <c r="J74" s="133"/>
      <c r="K74" s="133" t="s">
        <v>20</v>
      </c>
      <c r="L74" s="133"/>
      <c r="M74" s="10"/>
      <c r="N74" s="133" t="s">
        <v>19</v>
      </c>
      <c r="O74" s="133"/>
      <c r="P74" s="133" t="s">
        <v>18</v>
      </c>
      <c r="Q74" s="133"/>
      <c r="R74" s="133" t="s">
        <v>17</v>
      </c>
      <c r="S74" s="133"/>
      <c r="T74" s="133" t="s">
        <v>16</v>
      </c>
      <c r="U74" s="133"/>
      <c r="V74" s="96" t="s">
        <v>15</v>
      </c>
      <c r="W74" s="98"/>
      <c r="X74" s="97"/>
      <c r="Y74" s="46" t="s">
        <v>14</v>
      </c>
      <c r="Z74" s="133" t="s">
        <v>13</v>
      </c>
      <c r="AA74" s="133"/>
      <c r="AB74" s="45"/>
      <c r="AC74" s="10"/>
      <c r="AD74" s="10"/>
    </row>
    <row r="75" spans="1:30" x14ac:dyDescent="0.2">
      <c r="A75" s="123" t="s">
        <v>85</v>
      </c>
      <c r="B75" s="123"/>
      <c r="C75" s="123"/>
      <c r="D75" s="123"/>
      <c r="E75" s="128"/>
      <c r="F75" s="129"/>
      <c r="G75" s="128"/>
      <c r="H75" s="129"/>
      <c r="I75" s="129"/>
      <c r="J75" s="129"/>
      <c r="K75" s="128">
        <f>SUM(E75:J75)</f>
        <v>0</v>
      </c>
      <c r="L75" s="129"/>
      <c r="M75" s="38">
        <v>5</v>
      </c>
      <c r="N75" s="129"/>
      <c r="O75" s="129"/>
      <c r="P75" s="129"/>
      <c r="Q75" s="129"/>
      <c r="R75" s="129"/>
      <c r="S75" s="129"/>
      <c r="T75" s="129"/>
      <c r="U75" s="129"/>
      <c r="V75" s="134"/>
      <c r="W75" s="135"/>
      <c r="X75" s="136"/>
      <c r="Y75" s="39"/>
      <c r="Z75" s="129">
        <f t="shared" ref="Z75:Z78" si="5">+SUM(N75:Y75)</f>
        <v>0</v>
      </c>
      <c r="AA75" s="129"/>
      <c r="AB75" s="10"/>
      <c r="AC75" s="10"/>
      <c r="AD75" s="10"/>
    </row>
    <row r="76" spans="1:30" x14ac:dyDescent="0.2">
      <c r="A76" s="123" t="s">
        <v>86</v>
      </c>
      <c r="B76" s="123"/>
      <c r="C76" s="123"/>
      <c r="D76" s="123"/>
      <c r="E76" s="129"/>
      <c r="F76" s="129"/>
      <c r="G76" s="129"/>
      <c r="H76" s="129"/>
      <c r="I76" s="129"/>
      <c r="J76" s="129"/>
      <c r="K76" s="128">
        <f>SUM(E76:J76)</f>
        <v>0</v>
      </c>
      <c r="L76" s="129"/>
      <c r="M76" s="38">
        <v>12</v>
      </c>
      <c r="N76" s="129"/>
      <c r="O76" s="129"/>
      <c r="P76" s="129"/>
      <c r="Q76" s="129"/>
      <c r="R76" s="129"/>
      <c r="S76" s="129"/>
      <c r="T76" s="129"/>
      <c r="U76" s="129"/>
      <c r="V76" s="134"/>
      <c r="W76" s="135"/>
      <c r="X76" s="136"/>
      <c r="Y76" s="39"/>
      <c r="Z76" s="129">
        <f t="shared" si="5"/>
        <v>0</v>
      </c>
      <c r="AA76" s="129"/>
      <c r="AB76" s="10"/>
      <c r="AC76" s="10"/>
      <c r="AD76" s="10"/>
    </row>
    <row r="77" spans="1:30" x14ac:dyDescent="0.2">
      <c r="A77" s="123" t="s">
        <v>87</v>
      </c>
      <c r="B77" s="123"/>
      <c r="C77" s="123"/>
      <c r="D77" s="123"/>
      <c r="E77" s="128"/>
      <c r="F77" s="129"/>
      <c r="G77" s="128"/>
      <c r="H77" s="129"/>
      <c r="I77" s="129"/>
      <c r="J77" s="129"/>
      <c r="K77" s="128">
        <f>SUM(E77:J77)</f>
        <v>0</v>
      </c>
      <c r="L77" s="129"/>
      <c r="M77" s="38">
        <v>17</v>
      </c>
      <c r="N77" s="129"/>
      <c r="O77" s="129"/>
      <c r="P77" s="129"/>
      <c r="Q77" s="129"/>
      <c r="R77" s="129"/>
      <c r="S77" s="129"/>
      <c r="T77" s="129"/>
      <c r="U77" s="129"/>
      <c r="V77" s="134"/>
      <c r="W77" s="135"/>
      <c r="X77" s="136"/>
      <c r="Y77" s="39"/>
      <c r="Z77" s="129">
        <f t="shared" si="5"/>
        <v>0</v>
      </c>
      <c r="AA77" s="129"/>
      <c r="AB77" s="10"/>
      <c r="AC77" s="10"/>
      <c r="AD77" s="10"/>
    </row>
    <row r="78" spans="1:30" x14ac:dyDescent="0.2">
      <c r="A78" s="123" t="s">
        <v>88</v>
      </c>
      <c r="B78" s="123"/>
      <c r="C78" s="123"/>
      <c r="D78" s="123"/>
      <c r="E78" s="129"/>
      <c r="F78" s="129"/>
      <c r="G78" s="129"/>
      <c r="H78" s="129"/>
      <c r="I78" s="129"/>
      <c r="J78" s="129"/>
      <c r="K78" s="128">
        <f>SUM(E78:J78)</f>
        <v>0</v>
      </c>
      <c r="L78" s="129"/>
      <c r="M78" s="38">
        <v>21</v>
      </c>
      <c r="N78" s="129"/>
      <c r="O78" s="129"/>
      <c r="P78" s="129"/>
      <c r="Q78" s="129"/>
      <c r="R78" s="129"/>
      <c r="S78" s="129"/>
      <c r="T78" s="129"/>
      <c r="U78" s="129"/>
      <c r="V78" s="134"/>
      <c r="W78" s="135"/>
      <c r="X78" s="136"/>
      <c r="Y78" s="39"/>
      <c r="Z78" s="129">
        <f t="shared" si="5"/>
        <v>0</v>
      </c>
      <c r="AA78" s="129"/>
      <c r="AB78" s="10"/>
      <c r="AC78" s="10"/>
      <c r="AD78" s="10"/>
    </row>
    <row r="79" spans="1:30" x14ac:dyDescent="0.2">
      <c r="A79" s="137" t="s">
        <v>12</v>
      </c>
      <c r="B79" s="137"/>
      <c r="C79" s="137"/>
      <c r="D79" s="137"/>
      <c r="E79" s="128">
        <f>SUM(E75:F78)</f>
        <v>0</v>
      </c>
      <c r="F79" s="129"/>
      <c r="G79" s="128">
        <f>SUM(G75:H78)</f>
        <v>0</v>
      </c>
      <c r="H79" s="129"/>
      <c r="I79" s="128">
        <f>SUM(I75:J78)</f>
        <v>0</v>
      </c>
      <c r="J79" s="129"/>
      <c r="K79" s="138">
        <f>SUM(K75:L78)</f>
        <v>0</v>
      </c>
      <c r="L79" s="138"/>
      <c r="M79" s="38"/>
      <c r="N79" s="129">
        <f>+SUM(N75:O78)</f>
        <v>0</v>
      </c>
      <c r="O79" s="129"/>
      <c r="P79" s="129">
        <f>+SUM(P75:Q78)</f>
        <v>0</v>
      </c>
      <c r="Q79" s="129"/>
      <c r="R79" s="129">
        <f>+SUM(R75:S78)</f>
        <v>0</v>
      </c>
      <c r="S79" s="129"/>
      <c r="T79" s="129">
        <f>+SUM(T75:U78)</f>
        <v>0</v>
      </c>
      <c r="U79" s="129"/>
      <c r="V79" s="134">
        <f>+SUM(V75:W78)</f>
        <v>0</v>
      </c>
      <c r="W79" s="135"/>
      <c r="X79" s="136"/>
      <c r="Y79" s="39">
        <f>+SUM(X75:Y78)</f>
        <v>0</v>
      </c>
      <c r="Z79" s="129">
        <f>+SUM(Z75:AA78)</f>
        <v>0</v>
      </c>
      <c r="AA79" s="129"/>
      <c r="AB79" s="10"/>
      <c r="AC79" s="10"/>
      <c r="AD79" s="10"/>
    </row>
    <row r="80" spans="1:30" ht="12.5" customHeight="1" x14ac:dyDescent="0.2">
      <c r="A80" s="10"/>
      <c r="B80" s="10"/>
      <c r="C80" s="10"/>
      <c r="D80" s="10"/>
      <c r="E80" s="55"/>
      <c r="F80" s="55"/>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spans="1:30" ht="0.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spans="1:30" x14ac:dyDescent="0.2">
      <c r="A82" s="158" t="s">
        <v>11</v>
      </c>
      <c r="B82" s="158"/>
      <c r="C82" s="158"/>
      <c r="D82" s="158"/>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row>
    <row r="83" spans="1:30" ht="7.2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spans="1:30" ht="21" customHeight="1" x14ac:dyDescent="0.2">
      <c r="A84" s="131" t="s">
        <v>10</v>
      </c>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row>
    <row r="85" spans="1:30" ht="8.5" customHeight="1"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spans="1:30" ht="18" customHeight="1" x14ac:dyDescent="0.2">
      <c r="A86" s="150" t="s">
        <v>84</v>
      </c>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2"/>
    </row>
    <row r="87" spans="1:30" ht="6.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spans="1:30" ht="17" customHeight="1" x14ac:dyDescent="0.2">
      <c r="A88" s="131" t="s">
        <v>9</v>
      </c>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row>
    <row r="89" spans="1:30" ht="12" customHeight="1"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spans="1:30" ht="137" customHeight="1" x14ac:dyDescent="0.2">
      <c r="A90" s="159" t="s">
        <v>109</v>
      </c>
      <c r="B90" s="160"/>
      <c r="C90" s="160"/>
      <c r="D90" s="160"/>
      <c r="E90" s="160"/>
      <c r="F90" s="160"/>
      <c r="G90" s="160"/>
      <c r="H90" s="160"/>
      <c r="I90" s="160"/>
      <c r="J90" s="160"/>
      <c r="K90" s="160"/>
      <c r="L90" s="160"/>
      <c r="M90" s="160"/>
      <c r="N90" s="160"/>
      <c r="O90" s="160"/>
      <c r="P90" s="160"/>
      <c r="Q90" s="160"/>
      <c r="R90" s="160"/>
      <c r="S90" s="160"/>
      <c r="T90" s="160"/>
      <c r="U90" s="160"/>
      <c r="V90" s="160"/>
      <c r="W90" s="160"/>
      <c r="X90" s="160"/>
      <c r="Y90" s="160"/>
      <c r="Z90" s="160"/>
      <c r="AA90" s="160"/>
      <c r="AB90" s="160"/>
      <c r="AC90" s="160"/>
      <c r="AD90" s="161"/>
    </row>
    <row r="91" spans="1:30" ht="2.2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spans="1:30" x14ac:dyDescent="0.2">
      <c r="A92" s="131" t="s">
        <v>8</v>
      </c>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row>
    <row r="93" spans="1:30" ht="0.75" customHeight="1"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spans="1:30" s="7" customFormat="1" ht="139" customHeight="1" x14ac:dyDescent="0.2">
      <c r="A94" s="150" t="s">
        <v>110</v>
      </c>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2"/>
    </row>
    <row r="95" spans="1:30" ht="15" customHeight="1" x14ac:dyDescent="0.2">
      <c r="A95" s="131" t="s">
        <v>7</v>
      </c>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c r="AA95" s="131"/>
      <c r="AB95" s="131"/>
      <c r="AC95" s="131"/>
      <c r="AD95" s="131"/>
    </row>
    <row r="96" spans="1:30" ht="10.5" customHeight="1"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spans="1:30" ht="36.75" customHeight="1" x14ac:dyDescent="0.2">
      <c r="A97" s="153"/>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c r="AC97" s="154"/>
      <c r="AD97" s="155"/>
    </row>
    <row r="98" spans="1:30" x14ac:dyDescent="0.2">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spans="1:30" ht="13.5" customHeight="1" x14ac:dyDescent="0.2">
      <c r="A99" s="10" t="s">
        <v>6</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spans="1:30"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spans="1:30" ht="6"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spans="1:30" ht="15.75" customHeight="1" x14ac:dyDescent="0.2">
      <c r="A102" s="11" t="s">
        <v>5</v>
      </c>
      <c r="B102" s="12"/>
      <c r="C102" s="12"/>
      <c r="D102" s="12"/>
      <c r="E102" s="12"/>
      <c r="F102" s="10"/>
      <c r="G102" s="10"/>
      <c r="H102" s="10"/>
      <c r="I102" s="10"/>
      <c r="J102" s="10"/>
      <c r="K102" s="10"/>
      <c r="L102" s="10"/>
      <c r="M102" s="10"/>
      <c r="N102" s="10"/>
      <c r="O102" s="10"/>
      <c r="P102" s="10"/>
      <c r="Q102" s="11" t="s">
        <v>4</v>
      </c>
      <c r="R102" s="10"/>
      <c r="S102" s="10"/>
      <c r="T102" s="10"/>
      <c r="U102" s="10"/>
      <c r="V102" s="10"/>
      <c r="W102" s="10"/>
      <c r="X102" s="10"/>
      <c r="Y102" s="10"/>
      <c r="Z102" s="10"/>
      <c r="AA102" s="10"/>
      <c r="AB102" s="10"/>
      <c r="AC102" s="10"/>
      <c r="AD102" s="10"/>
    </row>
    <row r="103" spans="1:30" ht="22.5" customHeight="1" x14ac:dyDescent="0.2">
      <c r="A103" s="139" t="s">
        <v>3</v>
      </c>
      <c r="B103" s="139"/>
      <c r="C103" s="139"/>
      <c r="D103" s="156" t="s">
        <v>75</v>
      </c>
      <c r="E103" s="141"/>
      <c r="F103" s="141"/>
      <c r="G103" s="141"/>
      <c r="H103" s="141"/>
      <c r="I103" s="141"/>
      <c r="J103" s="141"/>
      <c r="K103" s="141"/>
      <c r="L103" s="141"/>
      <c r="M103" s="142"/>
      <c r="N103" s="13"/>
      <c r="O103" s="13"/>
      <c r="P103" s="13"/>
      <c r="Q103" s="157" t="s">
        <v>3</v>
      </c>
      <c r="R103" s="157"/>
      <c r="S103" s="157"/>
      <c r="T103" s="156" t="s">
        <v>79</v>
      </c>
      <c r="U103" s="141"/>
      <c r="V103" s="141"/>
      <c r="W103" s="141"/>
      <c r="X103" s="141"/>
      <c r="Y103" s="141"/>
      <c r="Z103" s="141"/>
      <c r="AA103" s="141"/>
      <c r="AB103" s="141"/>
      <c r="AC103" s="141"/>
      <c r="AD103" s="142"/>
    </row>
    <row r="104" spans="1:30" ht="15" customHeight="1" x14ac:dyDescent="0.2">
      <c r="A104" s="139" t="s">
        <v>2</v>
      </c>
      <c r="B104" s="139"/>
      <c r="C104" s="139"/>
      <c r="D104" s="144" t="s">
        <v>76</v>
      </c>
      <c r="E104" s="141"/>
      <c r="F104" s="141"/>
      <c r="G104" s="141"/>
      <c r="H104" s="141"/>
      <c r="I104" s="141"/>
      <c r="J104" s="141"/>
      <c r="K104" s="141"/>
      <c r="L104" s="141"/>
      <c r="M104" s="142"/>
      <c r="N104" s="10"/>
      <c r="O104" s="10"/>
      <c r="P104" s="10"/>
      <c r="Q104" s="139" t="s">
        <v>2</v>
      </c>
      <c r="R104" s="139"/>
      <c r="S104" s="139"/>
      <c r="T104" s="145" t="s">
        <v>80</v>
      </c>
      <c r="U104" s="146"/>
      <c r="V104" s="146"/>
      <c r="W104" s="146"/>
      <c r="X104" s="146"/>
      <c r="Y104" s="146"/>
      <c r="Z104" s="146"/>
      <c r="AA104" s="146"/>
      <c r="AB104" s="146"/>
      <c r="AC104" s="146"/>
      <c r="AD104" s="147"/>
    </row>
    <row r="105" spans="1:30" ht="15" customHeight="1" x14ac:dyDescent="0.2">
      <c r="A105" s="139" t="s">
        <v>1</v>
      </c>
      <c r="B105" s="139"/>
      <c r="C105" s="139"/>
      <c r="D105" s="148" t="s">
        <v>77</v>
      </c>
      <c r="E105" s="141"/>
      <c r="F105" s="141"/>
      <c r="G105" s="141"/>
      <c r="H105" s="141"/>
      <c r="I105" s="141"/>
      <c r="J105" s="141"/>
      <c r="K105" s="141"/>
      <c r="L105" s="141"/>
      <c r="M105" s="142"/>
      <c r="N105" s="10"/>
      <c r="O105" s="10"/>
      <c r="P105" s="10"/>
      <c r="Q105" s="139" t="s">
        <v>1</v>
      </c>
      <c r="R105" s="139"/>
      <c r="S105" s="139"/>
      <c r="T105" s="149" t="s">
        <v>81</v>
      </c>
      <c r="U105" s="141"/>
      <c r="V105" s="141"/>
      <c r="W105" s="141"/>
      <c r="X105" s="141"/>
      <c r="Y105" s="141"/>
      <c r="Z105" s="141"/>
      <c r="AA105" s="141"/>
      <c r="AB105" s="141"/>
      <c r="AC105" s="141"/>
      <c r="AD105" s="142"/>
    </row>
    <row r="106" spans="1:30" x14ac:dyDescent="0.2">
      <c r="A106" s="139" t="s">
        <v>0</v>
      </c>
      <c r="B106" s="139"/>
      <c r="C106" s="139"/>
      <c r="D106" s="140" t="s">
        <v>78</v>
      </c>
      <c r="E106" s="141"/>
      <c r="F106" s="141"/>
      <c r="G106" s="141"/>
      <c r="H106" s="141"/>
      <c r="I106" s="141"/>
      <c r="J106" s="141"/>
      <c r="K106" s="141"/>
      <c r="L106" s="141"/>
      <c r="M106" s="142"/>
      <c r="N106" s="10"/>
      <c r="O106" s="10"/>
      <c r="P106" s="10"/>
      <c r="Q106" s="143" t="s">
        <v>0</v>
      </c>
      <c r="R106" s="143"/>
      <c r="S106" s="143"/>
      <c r="T106" s="144" t="s">
        <v>82</v>
      </c>
      <c r="U106" s="141"/>
      <c r="V106" s="141"/>
      <c r="W106" s="141"/>
      <c r="X106" s="141"/>
      <c r="Y106" s="141"/>
      <c r="Z106" s="141"/>
      <c r="AA106" s="141"/>
      <c r="AB106" s="141"/>
      <c r="AC106" s="141"/>
      <c r="AD106" s="142"/>
    </row>
  </sheetData>
  <mergeCells count="272">
    <mergeCell ref="A52:B52"/>
    <mergeCell ref="C52:F52"/>
    <mergeCell ref="G52:J52"/>
    <mergeCell ref="K52:L52"/>
    <mergeCell ref="M52:P52"/>
    <mergeCell ref="Q52:S52"/>
    <mergeCell ref="T52:Y52"/>
    <mergeCell ref="AA52:AD52"/>
    <mergeCell ref="Q51:S51"/>
    <mergeCell ref="T42:Y42"/>
    <mergeCell ref="AA42:AD42"/>
    <mergeCell ref="T43:Y43"/>
    <mergeCell ref="AA43:AD43"/>
    <mergeCell ref="T44:Y44"/>
    <mergeCell ref="AA44:AD44"/>
    <mergeCell ref="T45:Y45"/>
    <mergeCell ref="AA45:AD45"/>
    <mergeCell ref="T46:Y46"/>
    <mergeCell ref="AA46:AD46"/>
    <mergeCell ref="T47:Y47"/>
    <mergeCell ref="AA47:AD47"/>
    <mergeCell ref="T48:Y48"/>
    <mergeCell ref="AA48:AD48"/>
    <mergeCell ref="T49:Y49"/>
    <mergeCell ref="AA49:AD49"/>
    <mergeCell ref="T50:Y50"/>
    <mergeCell ref="AA50:AD50"/>
    <mergeCell ref="T51:Y51"/>
    <mergeCell ref="AA51:AD51"/>
    <mergeCell ref="K47:L47"/>
    <mergeCell ref="K48:L48"/>
    <mergeCell ref="K49:L49"/>
    <mergeCell ref="K50:L50"/>
    <mergeCell ref="K51:L51"/>
    <mergeCell ref="M47:P47"/>
    <mergeCell ref="M48:P48"/>
    <mergeCell ref="M49:P49"/>
    <mergeCell ref="M50:P50"/>
    <mergeCell ref="M51:P51"/>
    <mergeCell ref="Q47:S47"/>
    <mergeCell ref="Q48:S48"/>
    <mergeCell ref="Q49:S49"/>
    <mergeCell ref="Q50:S50"/>
    <mergeCell ref="K42:L42"/>
    <mergeCell ref="M42:P42"/>
    <mergeCell ref="K43:L43"/>
    <mergeCell ref="M43:P43"/>
    <mergeCell ref="K44:L44"/>
    <mergeCell ref="M44:P44"/>
    <mergeCell ref="K45:L45"/>
    <mergeCell ref="M45:P45"/>
    <mergeCell ref="K46:L46"/>
    <mergeCell ref="M46:P46"/>
    <mergeCell ref="Q42:S42"/>
    <mergeCell ref="Q43:S43"/>
    <mergeCell ref="Q44:S44"/>
    <mergeCell ref="Q45:S45"/>
    <mergeCell ref="Q46:S46"/>
    <mergeCell ref="G46:J46"/>
    <mergeCell ref="G47:J47"/>
    <mergeCell ref="G48:J48"/>
    <mergeCell ref="G49:J49"/>
    <mergeCell ref="G50:J50"/>
    <mergeCell ref="G51:J51"/>
    <mergeCell ref="A42:B42"/>
    <mergeCell ref="A43:B43"/>
    <mergeCell ref="A44:B44"/>
    <mergeCell ref="A45:B45"/>
    <mergeCell ref="A46:B46"/>
    <mergeCell ref="A47:B47"/>
    <mergeCell ref="A48:B48"/>
    <mergeCell ref="A49:B49"/>
    <mergeCell ref="A50:B50"/>
    <mergeCell ref="A51:B51"/>
    <mergeCell ref="A4:G4"/>
    <mergeCell ref="C39:F39"/>
    <mergeCell ref="A38:B38"/>
    <mergeCell ref="G38:J38"/>
    <mergeCell ref="AA38:AD38"/>
    <mergeCell ref="A37:B37"/>
    <mergeCell ref="C37:F37"/>
    <mergeCell ref="G37:J37"/>
    <mergeCell ref="K37:L37"/>
    <mergeCell ref="M37:P37"/>
    <mergeCell ref="Q37:S37"/>
    <mergeCell ref="T37:Y37"/>
    <mergeCell ref="AA37:AD37"/>
    <mergeCell ref="A39:B39"/>
    <mergeCell ref="C38:F38"/>
    <mergeCell ref="G39:J39"/>
    <mergeCell ref="K39:L39"/>
    <mergeCell ref="M39:P39"/>
    <mergeCell ref="Q39:S39"/>
    <mergeCell ref="T39:Y39"/>
    <mergeCell ref="AA39:AD39"/>
    <mergeCell ref="Y25:AD25"/>
    <mergeCell ref="A32:AD32"/>
    <mergeCell ref="A34:J34"/>
    <mergeCell ref="A54:S55"/>
    <mergeCell ref="T54:AD55"/>
    <mergeCell ref="A56:S56"/>
    <mergeCell ref="T56:AD56"/>
    <mergeCell ref="G53:J53"/>
    <mergeCell ref="Q41:S41"/>
    <mergeCell ref="T41:Y41"/>
    <mergeCell ref="AA41:AD41"/>
    <mergeCell ref="K41:L41"/>
    <mergeCell ref="M41:P41"/>
    <mergeCell ref="C42:F42"/>
    <mergeCell ref="C43:F43"/>
    <mergeCell ref="C44:F44"/>
    <mergeCell ref="C45:F45"/>
    <mergeCell ref="C46:F46"/>
    <mergeCell ref="C47:F47"/>
    <mergeCell ref="C48:F48"/>
    <mergeCell ref="C49:F49"/>
    <mergeCell ref="C50:F50"/>
    <mergeCell ref="C51:F51"/>
    <mergeCell ref="G42:J42"/>
    <mergeCell ref="G43:J43"/>
    <mergeCell ref="G44:J44"/>
    <mergeCell ref="G45:J45"/>
    <mergeCell ref="A94:AD94"/>
    <mergeCell ref="A95:AD95"/>
    <mergeCell ref="A97:AD97"/>
    <mergeCell ref="A103:C103"/>
    <mergeCell ref="D103:M103"/>
    <mergeCell ref="Q103:S103"/>
    <mergeCell ref="T103:AD103"/>
    <mergeCell ref="A82:AD82"/>
    <mergeCell ref="A84:AD84"/>
    <mergeCell ref="A86:AD86"/>
    <mergeCell ref="A88:AD88"/>
    <mergeCell ref="A90:AD90"/>
    <mergeCell ref="A92:AD92"/>
    <mergeCell ref="A106:C106"/>
    <mergeCell ref="D106:M106"/>
    <mergeCell ref="Q106:S106"/>
    <mergeCell ref="T106:AD106"/>
    <mergeCell ref="A104:C104"/>
    <mergeCell ref="D104:M104"/>
    <mergeCell ref="Q104:S104"/>
    <mergeCell ref="T104:AD104"/>
    <mergeCell ref="A105:C105"/>
    <mergeCell ref="D105:M105"/>
    <mergeCell ref="Q105:S105"/>
    <mergeCell ref="T105:AD105"/>
    <mergeCell ref="N79:O79"/>
    <mergeCell ref="P79:Q79"/>
    <mergeCell ref="R79:S79"/>
    <mergeCell ref="T79:U79"/>
    <mergeCell ref="V79:X79"/>
    <mergeCell ref="Z79:AA79"/>
    <mergeCell ref="A79:D79"/>
    <mergeCell ref="E79:F79"/>
    <mergeCell ref="G79:H79"/>
    <mergeCell ref="I79:J79"/>
    <mergeCell ref="K79:L79"/>
    <mergeCell ref="P78:Q78"/>
    <mergeCell ref="R78:S78"/>
    <mergeCell ref="T78:U78"/>
    <mergeCell ref="V78:X78"/>
    <mergeCell ref="Z78:AA78"/>
    <mergeCell ref="N78:O78"/>
    <mergeCell ref="A78:D78"/>
    <mergeCell ref="E78:F78"/>
    <mergeCell ref="G78:H78"/>
    <mergeCell ref="I78:J78"/>
    <mergeCell ref="K78:L78"/>
    <mergeCell ref="P75:Q75"/>
    <mergeCell ref="R77:S77"/>
    <mergeCell ref="T77:U77"/>
    <mergeCell ref="V77:X77"/>
    <mergeCell ref="Z77:AA77"/>
    <mergeCell ref="P76:Q76"/>
    <mergeCell ref="R76:S76"/>
    <mergeCell ref="T76:U76"/>
    <mergeCell ref="V76:X76"/>
    <mergeCell ref="Z76:AA76"/>
    <mergeCell ref="A76:D76"/>
    <mergeCell ref="E76:F76"/>
    <mergeCell ref="G76:H76"/>
    <mergeCell ref="I76:J76"/>
    <mergeCell ref="K76:L76"/>
    <mergeCell ref="N76:O76"/>
    <mergeCell ref="A75:D75"/>
    <mergeCell ref="E75:F75"/>
    <mergeCell ref="G75:H75"/>
    <mergeCell ref="I75:J75"/>
    <mergeCell ref="K75:L75"/>
    <mergeCell ref="N75:O75"/>
    <mergeCell ref="A77:D77"/>
    <mergeCell ref="E77:F77"/>
    <mergeCell ref="G77:H77"/>
    <mergeCell ref="I77:J77"/>
    <mergeCell ref="K77:L77"/>
    <mergeCell ref="N77:O77"/>
    <mergeCell ref="P77:Q77"/>
    <mergeCell ref="A70:AD70"/>
    <mergeCell ref="A72:AD72"/>
    <mergeCell ref="A74:D74"/>
    <mergeCell ref="E74:F74"/>
    <mergeCell ref="G74:H74"/>
    <mergeCell ref="I74:J74"/>
    <mergeCell ref="K74:L74"/>
    <mergeCell ref="N74:O74"/>
    <mergeCell ref="P74:Q74"/>
    <mergeCell ref="R74:S74"/>
    <mergeCell ref="T74:U74"/>
    <mergeCell ref="V74:X74"/>
    <mergeCell ref="Z74:AA74"/>
    <mergeCell ref="R75:S75"/>
    <mergeCell ref="T75:U75"/>
    <mergeCell ref="V75:X75"/>
    <mergeCell ref="Z75:AA75"/>
    <mergeCell ref="A66:L66"/>
    <mergeCell ref="A68:C68"/>
    <mergeCell ref="E68:H68"/>
    <mergeCell ref="J68:P68"/>
    <mergeCell ref="Q68:R68"/>
    <mergeCell ref="S68:X68"/>
    <mergeCell ref="A57:E62"/>
    <mergeCell ref="L58:N58"/>
    <mergeCell ref="Q58:AC60"/>
    <mergeCell ref="G59:I59"/>
    <mergeCell ref="L60:N60"/>
    <mergeCell ref="G62:AC62"/>
    <mergeCell ref="A64:AD64"/>
    <mergeCell ref="G40:J40"/>
    <mergeCell ref="K40:L40"/>
    <mergeCell ref="M40:P40"/>
    <mergeCell ref="Q40:S40"/>
    <mergeCell ref="T40:Y40"/>
    <mergeCell ref="AA40:AD40"/>
    <mergeCell ref="K38:L38"/>
    <mergeCell ref="M38:P38"/>
    <mergeCell ref="Q38:S38"/>
    <mergeCell ref="T38:Y38"/>
    <mergeCell ref="K34:P34"/>
    <mergeCell ref="Q34:Y34"/>
    <mergeCell ref="AA34:AD35"/>
    <mergeCell ref="A35:B35"/>
    <mergeCell ref="C35:F35"/>
    <mergeCell ref="G35:J35"/>
    <mergeCell ref="K35:L35"/>
    <mergeCell ref="M35:P35"/>
    <mergeCell ref="Q35:S35"/>
    <mergeCell ref="T35:Y35"/>
    <mergeCell ref="A36:AD36"/>
    <mergeCell ref="C40:F40"/>
    <mergeCell ref="E80:F80"/>
    <mergeCell ref="A1:C2"/>
    <mergeCell ref="D1:V2"/>
    <mergeCell ref="W1:Z1"/>
    <mergeCell ref="AA1:AD1"/>
    <mergeCell ref="W2:Z2"/>
    <mergeCell ref="AA2:AD2"/>
    <mergeCell ref="G26:X26"/>
    <mergeCell ref="A28:F28"/>
    <mergeCell ref="Y28:AD28"/>
    <mergeCell ref="A29:F29"/>
    <mergeCell ref="G29:X29"/>
    <mergeCell ref="Y29:AD29"/>
    <mergeCell ref="A22:AD22"/>
    <mergeCell ref="A24:F25"/>
    <mergeCell ref="G24:X24"/>
    <mergeCell ref="Y24:AD24"/>
    <mergeCell ref="G25:X25"/>
    <mergeCell ref="A40:B40"/>
    <mergeCell ref="A41:B41"/>
    <mergeCell ref="C41:F41"/>
    <mergeCell ref="G41:J41"/>
  </mergeCells>
  <hyperlinks>
    <hyperlink ref="D105" r:id="rId1" xr:uid="{80648946-5D28-46DB-9333-1D8A14791ED1}"/>
    <hyperlink ref="T105" r:id="rId2" xr:uid="{E5CD49C9-7C55-42D5-9BF7-2820D40D5881}"/>
  </hyperlinks>
  <pageMargins left="0.7" right="0.7" top="0.75" bottom="0.75" header="0.3" footer="0.3"/>
  <pageSetup scale="59" fitToHeight="0" orientation="portrait" r:id="rId3"/>
  <headerFooter>
    <oddFooter>&amp;C&amp;G</oddFooter>
  </headerFooter>
  <rowBreaks count="1" manualBreakCount="1">
    <brk id="49" max="29" man="1"/>
  </rowBreaks>
  <drawing r:id="rId4"/>
  <legacyDrawingHF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51FDA-9BBF-461A-942F-68C3309A4290}">
  <sheetPr>
    <pageSetUpPr fitToPage="1"/>
  </sheetPr>
  <dimension ref="A1:AF88"/>
  <sheetViews>
    <sheetView view="pageBreakPreview" topLeftCell="A14" zoomScale="137" zoomScaleNormal="110" zoomScaleSheetLayoutView="91" zoomScalePageLayoutView="55" workbookViewId="0">
      <selection activeCell="A40" sqref="A40:E45"/>
    </sheetView>
  </sheetViews>
  <sheetFormatPr baseColWidth="10" defaultColWidth="3.83203125" defaultRowHeight="16" x14ac:dyDescent="0.2"/>
  <cols>
    <col min="1" max="1" width="6" style="1" customWidth="1"/>
    <col min="2" max="2" width="9.1640625" style="1" customWidth="1"/>
    <col min="3" max="4" width="5.1640625" style="1" customWidth="1"/>
    <col min="5" max="5" width="2.5" style="1" customWidth="1"/>
    <col min="6" max="6" width="5.5" style="1" customWidth="1"/>
    <col min="7" max="7" width="7.6640625" style="1" bestFit="1" customWidth="1"/>
    <col min="8" max="8" width="1.5" style="1" customWidth="1"/>
    <col min="9" max="9" width="7.33203125" style="1" customWidth="1"/>
    <col min="10" max="10" width="1.33203125" style="1" customWidth="1"/>
    <col min="11" max="11" width="2.5" style="1" customWidth="1"/>
    <col min="12" max="12" width="8.83203125" style="1" customWidth="1"/>
    <col min="13" max="13" width="3.83203125" style="1"/>
    <col min="14" max="14" width="4.5" style="1" customWidth="1"/>
    <col min="15" max="15" width="3.83203125" style="1"/>
    <col min="16" max="16" width="2.5" style="1" customWidth="1"/>
    <col min="17" max="18" width="2.6640625" style="1" customWidth="1"/>
    <col min="19" max="19" width="5.6640625" style="1" customWidth="1"/>
    <col min="20" max="21" width="3.83203125" style="1"/>
    <col min="22" max="22" width="2.1640625" style="1" customWidth="1"/>
    <col min="23" max="24" width="3.83203125" style="1"/>
    <col min="25" max="25" width="6.83203125" style="1" customWidth="1"/>
    <col min="26" max="26" width="1.83203125" style="1" customWidth="1"/>
    <col min="27" max="27" width="3.83203125" style="1"/>
    <col min="28" max="28" width="3.83203125" style="1" customWidth="1"/>
    <col min="29" max="29" width="2.83203125" style="1" customWidth="1"/>
    <col min="30" max="30" width="9.6640625" style="1" bestFit="1" customWidth="1"/>
    <col min="31" max="31" width="20" style="1" customWidth="1"/>
    <col min="32" max="32" width="11.83203125" style="1" customWidth="1"/>
    <col min="33" max="16384" width="3.83203125" style="1"/>
  </cols>
  <sheetData>
    <row r="1" spans="1:30" ht="24" customHeight="1" x14ac:dyDescent="0.2">
      <c r="A1" s="56"/>
      <c r="B1" s="56"/>
      <c r="C1" s="56"/>
      <c r="D1" s="57" t="s">
        <v>65</v>
      </c>
      <c r="E1" s="57"/>
      <c r="F1" s="57"/>
      <c r="G1" s="57"/>
      <c r="H1" s="57"/>
      <c r="I1" s="57"/>
      <c r="J1" s="57"/>
      <c r="K1" s="57"/>
      <c r="L1" s="57"/>
      <c r="M1" s="57"/>
      <c r="N1" s="57"/>
      <c r="O1" s="57"/>
      <c r="P1" s="57"/>
      <c r="Q1" s="57"/>
      <c r="R1" s="57"/>
      <c r="S1" s="57"/>
      <c r="T1" s="57"/>
      <c r="U1" s="57"/>
      <c r="V1" s="57"/>
      <c r="W1" s="58" t="s">
        <v>64</v>
      </c>
      <c r="X1" s="59"/>
      <c r="Y1" s="59"/>
      <c r="Z1" s="60"/>
      <c r="AA1" s="61" t="s">
        <v>63</v>
      </c>
      <c r="AB1" s="61"/>
      <c r="AC1" s="61"/>
      <c r="AD1" s="61"/>
    </row>
    <row r="2" spans="1:30" ht="41.5" customHeight="1" x14ac:dyDescent="0.2">
      <c r="A2" s="56"/>
      <c r="B2" s="56"/>
      <c r="C2" s="56"/>
      <c r="D2" s="57"/>
      <c r="E2" s="57"/>
      <c r="F2" s="57"/>
      <c r="G2" s="57"/>
      <c r="H2" s="57"/>
      <c r="I2" s="57"/>
      <c r="J2" s="57"/>
      <c r="K2" s="57"/>
      <c r="L2" s="57"/>
      <c r="M2" s="57"/>
      <c r="N2" s="57"/>
      <c r="O2" s="57"/>
      <c r="P2" s="57"/>
      <c r="Q2" s="57"/>
      <c r="R2" s="57"/>
      <c r="S2" s="57"/>
      <c r="T2" s="57"/>
      <c r="U2" s="57"/>
      <c r="V2" s="57"/>
      <c r="W2" s="58" t="s">
        <v>62</v>
      </c>
      <c r="X2" s="59"/>
      <c r="Y2" s="59"/>
      <c r="Z2" s="60"/>
      <c r="AA2" s="61" t="s">
        <v>61</v>
      </c>
      <c r="AB2" s="61"/>
      <c r="AC2" s="61"/>
      <c r="AD2" s="61"/>
    </row>
    <row r="3" spans="1:30" x14ac:dyDescent="0.2">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16" customHeight="1" x14ac:dyDescent="0.2">
      <c r="A4" s="190" t="s">
        <v>89</v>
      </c>
      <c r="B4" s="190"/>
      <c r="C4" s="190"/>
      <c r="D4" s="190"/>
      <c r="E4" s="190"/>
      <c r="F4" s="190"/>
      <c r="G4" s="190"/>
      <c r="H4" s="10"/>
      <c r="I4" s="10"/>
      <c r="J4" s="10"/>
      <c r="K4" s="10"/>
      <c r="L4" s="10"/>
      <c r="M4" s="10"/>
      <c r="N4" s="10"/>
      <c r="O4" s="10"/>
      <c r="P4" s="10"/>
      <c r="Q4" s="10"/>
      <c r="R4" s="10"/>
      <c r="S4" s="10"/>
      <c r="T4" s="10"/>
      <c r="U4" s="10"/>
      <c r="V4" s="10"/>
      <c r="W4" s="10"/>
      <c r="X4" s="10"/>
      <c r="Y4" s="10"/>
      <c r="Z4" s="10"/>
      <c r="AA4" s="10"/>
      <c r="AB4" s="10"/>
      <c r="AC4" s="10"/>
      <c r="AD4" s="10"/>
    </row>
    <row r="5" spans="1:30" ht="5.5" customHeight="1" x14ac:dyDescent="0.2">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ht="6.5" customHeight="1" x14ac:dyDescent="0.2">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ht="16" customHeight="1" x14ac:dyDescent="0.2">
      <c r="A7" s="14" t="s">
        <v>67</v>
      </c>
      <c r="B7" s="14"/>
      <c r="C7" s="14"/>
      <c r="D7" s="14"/>
      <c r="E7" s="14"/>
      <c r="F7" s="14"/>
      <c r="G7" s="14"/>
      <c r="H7" s="14"/>
      <c r="I7" s="14"/>
      <c r="J7" s="10"/>
      <c r="K7" s="10"/>
      <c r="L7" s="10"/>
      <c r="M7" s="10"/>
      <c r="N7" s="10"/>
      <c r="O7" s="10"/>
      <c r="P7" s="10"/>
      <c r="Q7" s="10"/>
      <c r="R7" s="10"/>
      <c r="S7" s="10"/>
      <c r="T7" s="10"/>
      <c r="U7" s="10"/>
      <c r="V7" s="10"/>
      <c r="W7" s="10"/>
      <c r="X7" s="10"/>
      <c r="Y7" s="10"/>
      <c r="Z7" s="10"/>
      <c r="AA7" s="10"/>
      <c r="AB7" s="10"/>
      <c r="AC7" s="10"/>
      <c r="AD7" s="10"/>
    </row>
    <row r="8" spans="1:30" x14ac:dyDescent="0.2">
      <c r="A8" s="15" t="s">
        <v>68</v>
      </c>
      <c r="B8" s="15"/>
      <c r="C8" s="15"/>
      <c r="D8" s="15"/>
      <c r="E8" s="15"/>
      <c r="F8" s="15"/>
      <c r="G8" s="15"/>
      <c r="H8" s="15"/>
      <c r="I8" s="15"/>
      <c r="J8" s="10"/>
      <c r="K8" s="10"/>
      <c r="L8" s="10"/>
      <c r="M8" s="10"/>
      <c r="N8" s="10"/>
      <c r="O8" s="10"/>
      <c r="P8" s="10"/>
      <c r="Q8" s="10"/>
      <c r="R8" s="10"/>
      <c r="S8" s="10"/>
      <c r="T8" s="10"/>
      <c r="U8" s="10"/>
      <c r="V8" s="10"/>
      <c r="W8" s="10"/>
      <c r="X8" s="10"/>
      <c r="Y8" s="10"/>
      <c r="Z8" s="10"/>
      <c r="AA8" s="10"/>
      <c r="AB8" s="10"/>
      <c r="AC8" s="10"/>
      <c r="AD8" s="10"/>
    </row>
    <row r="9" spans="1:30" ht="16" customHeight="1" x14ac:dyDescent="0.2">
      <c r="A9" s="16" t="s">
        <v>66</v>
      </c>
      <c r="B9" s="17"/>
      <c r="C9" s="17"/>
      <c r="D9" s="17"/>
      <c r="E9" s="17"/>
      <c r="F9" s="17"/>
      <c r="G9" s="17"/>
      <c r="H9" s="17"/>
      <c r="I9" s="17"/>
      <c r="J9" s="10"/>
      <c r="K9" s="10"/>
      <c r="L9" s="10"/>
      <c r="M9" s="10"/>
      <c r="N9" s="10"/>
      <c r="O9" s="10"/>
      <c r="P9" s="10"/>
      <c r="Q9" s="10"/>
      <c r="R9" s="10"/>
      <c r="S9" s="10"/>
      <c r="T9" s="10"/>
      <c r="U9" s="10"/>
      <c r="V9" s="10"/>
      <c r="W9" s="10"/>
      <c r="X9" s="10"/>
      <c r="Y9" s="10"/>
      <c r="Z9" s="10"/>
      <c r="AA9" s="10"/>
      <c r="AB9" s="10"/>
      <c r="AC9" s="10"/>
      <c r="AD9" s="10"/>
    </row>
    <row r="10" spans="1:30" ht="16" customHeight="1" x14ac:dyDescent="0.2">
      <c r="A10" s="16" t="s">
        <v>60</v>
      </c>
      <c r="B10" s="17"/>
      <c r="C10" s="17"/>
      <c r="D10" s="17"/>
      <c r="E10" s="17"/>
      <c r="F10" s="17"/>
      <c r="G10" s="17"/>
      <c r="H10" s="17"/>
      <c r="I10" s="17"/>
      <c r="J10" s="10"/>
      <c r="K10" s="10"/>
      <c r="L10" s="10"/>
      <c r="M10" s="10"/>
      <c r="N10" s="10"/>
      <c r="O10" s="10"/>
      <c r="P10" s="10"/>
      <c r="Q10" s="10"/>
      <c r="R10" s="10"/>
      <c r="S10" s="10"/>
      <c r="T10" s="10"/>
      <c r="U10" s="10"/>
      <c r="V10" s="10"/>
      <c r="W10" s="10"/>
      <c r="X10" s="10"/>
      <c r="Y10" s="10"/>
      <c r="Z10" s="10"/>
      <c r="AA10" s="10"/>
      <c r="AB10" s="10"/>
      <c r="AC10" s="10"/>
      <c r="AD10" s="10"/>
    </row>
    <row r="11" spans="1:30" ht="10.5" customHeight="1" x14ac:dyDescent="0.2">
      <c r="A11" s="18"/>
      <c r="B11" s="18"/>
      <c r="C11" s="18"/>
      <c r="D11" s="18"/>
      <c r="E11" s="18"/>
      <c r="F11" s="18"/>
      <c r="G11" s="18"/>
      <c r="H11" s="18"/>
      <c r="I11" s="18"/>
      <c r="J11" s="10"/>
      <c r="K11" s="10"/>
      <c r="L11" s="10"/>
      <c r="M11" s="10"/>
      <c r="N11" s="10"/>
      <c r="O11" s="10"/>
      <c r="P11" s="10"/>
      <c r="Q11" s="10"/>
      <c r="R11" s="10"/>
      <c r="S11" s="10"/>
      <c r="T11" s="10"/>
      <c r="U11" s="10"/>
      <c r="V11" s="10"/>
      <c r="W11" s="10"/>
      <c r="X11" s="10"/>
      <c r="Y11" s="10"/>
      <c r="Z11" s="10"/>
      <c r="AA11" s="10"/>
      <c r="AB11" s="10"/>
      <c r="AC11" s="10"/>
      <c r="AD11" s="10"/>
    </row>
    <row r="12" spans="1:30" ht="10.5" customHeight="1" x14ac:dyDescent="0.2">
      <c r="A12" s="18"/>
      <c r="B12" s="18"/>
      <c r="C12" s="18"/>
      <c r="D12" s="18"/>
      <c r="E12" s="18"/>
      <c r="F12" s="18"/>
      <c r="G12" s="18"/>
      <c r="H12" s="18"/>
      <c r="I12" s="18"/>
      <c r="J12" s="10"/>
      <c r="K12" s="10"/>
      <c r="L12" s="10"/>
      <c r="M12" s="10"/>
      <c r="N12" s="10"/>
      <c r="O12" s="10"/>
      <c r="P12" s="10"/>
      <c r="Q12" s="10"/>
      <c r="R12" s="10"/>
      <c r="S12" s="10"/>
      <c r="T12" s="10"/>
      <c r="U12" s="10"/>
      <c r="V12" s="10"/>
      <c r="W12" s="10"/>
      <c r="X12" s="10"/>
      <c r="Y12" s="10"/>
      <c r="Z12" s="10"/>
      <c r="AA12" s="10"/>
      <c r="AB12" s="10"/>
      <c r="AC12" s="10"/>
      <c r="AD12" s="10"/>
    </row>
    <row r="13" spans="1:30" ht="3.5" customHeight="1" x14ac:dyDescent="0.2">
      <c r="A13" s="18"/>
      <c r="B13" s="18"/>
      <c r="C13" s="18"/>
      <c r="D13" s="18"/>
      <c r="E13" s="18"/>
      <c r="F13" s="18"/>
      <c r="G13" s="18"/>
      <c r="H13" s="18"/>
      <c r="I13" s="18"/>
      <c r="J13" s="10"/>
      <c r="K13" s="10"/>
      <c r="L13" s="10"/>
      <c r="M13" s="10"/>
      <c r="N13" s="10"/>
      <c r="O13" s="10"/>
      <c r="P13" s="10"/>
      <c r="Q13" s="10"/>
      <c r="R13" s="10"/>
      <c r="S13" s="10"/>
      <c r="T13" s="10"/>
      <c r="U13" s="10"/>
      <c r="V13" s="10"/>
      <c r="W13" s="10"/>
      <c r="X13" s="10"/>
      <c r="Y13" s="10"/>
      <c r="Z13" s="10"/>
      <c r="AA13" s="10"/>
      <c r="AB13" s="10"/>
      <c r="AC13" s="10"/>
      <c r="AD13" s="10"/>
    </row>
    <row r="14" spans="1:30" x14ac:dyDescent="0.2">
      <c r="A14" s="10" t="s">
        <v>59</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
      <c r="A15" s="10" t="s">
        <v>58</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
      <c r="A17" s="10" t="s">
        <v>57</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ht="31" customHeight="1" x14ac:dyDescent="0.2">
      <c r="A19" s="67" t="s">
        <v>56</v>
      </c>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row>
    <row r="20" spans="1:30" x14ac:dyDescent="0.2">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
      <c r="A21" s="68" t="s">
        <v>55</v>
      </c>
      <c r="B21" s="69"/>
      <c r="C21" s="69"/>
      <c r="D21" s="69"/>
      <c r="E21" s="69"/>
      <c r="F21" s="70"/>
      <c r="G21" s="74" t="s">
        <v>3</v>
      </c>
      <c r="H21" s="75"/>
      <c r="I21" s="75"/>
      <c r="J21" s="75"/>
      <c r="K21" s="75"/>
      <c r="L21" s="75"/>
      <c r="M21" s="75"/>
      <c r="N21" s="75"/>
      <c r="O21" s="75"/>
      <c r="P21" s="75"/>
      <c r="Q21" s="75"/>
      <c r="R21" s="75"/>
      <c r="S21" s="75"/>
      <c r="T21" s="75"/>
      <c r="U21" s="75"/>
      <c r="V21" s="75"/>
      <c r="W21" s="75"/>
      <c r="X21" s="76"/>
      <c r="Y21" s="74" t="s">
        <v>54</v>
      </c>
      <c r="Z21" s="75"/>
      <c r="AA21" s="75"/>
      <c r="AB21" s="75"/>
      <c r="AC21" s="75"/>
      <c r="AD21" s="76"/>
    </row>
    <row r="22" spans="1:30" ht="39" customHeight="1" x14ac:dyDescent="0.2">
      <c r="A22" s="71"/>
      <c r="B22" s="72"/>
      <c r="C22" s="72"/>
      <c r="D22" s="72"/>
      <c r="E22" s="72"/>
      <c r="F22" s="73"/>
      <c r="G22" s="77" t="s">
        <v>91</v>
      </c>
      <c r="H22" s="78"/>
      <c r="I22" s="78"/>
      <c r="J22" s="78"/>
      <c r="K22" s="78"/>
      <c r="L22" s="78"/>
      <c r="M22" s="78"/>
      <c r="N22" s="78"/>
      <c r="O22" s="78"/>
      <c r="P22" s="78"/>
      <c r="Q22" s="78"/>
      <c r="R22" s="78"/>
      <c r="S22" s="78"/>
      <c r="T22" s="78"/>
      <c r="U22" s="78"/>
      <c r="V22" s="78"/>
      <c r="W22" s="78"/>
      <c r="X22" s="79"/>
      <c r="Y22" s="174" t="s">
        <v>90</v>
      </c>
      <c r="Z22" s="175"/>
      <c r="AA22" s="175"/>
      <c r="AB22" s="175"/>
      <c r="AC22" s="175"/>
      <c r="AD22" s="176"/>
    </row>
    <row r="23" spans="1:30" ht="5.5" customHeight="1" x14ac:dyDescent="0.2">
      <c r="A23" s="10"/>
      <c r="B23" s="10"/>
      <c r="C23" s="10"/>
      <c r="D23" s="10"/>
      <c r="E23" s="10"/>
      <c r="F23" s="10"/>
      <c r="G23" s="62"/>
      <c r="H23" s="62"/>
      <c r="I23" s="62"/>
      <c r="J23" s="62"/>
      <c r="K23" s="62"/>
      <c r="L23" s="62"/>
      <c r="M23" s="62"/>
      <c r="N23" s="62"/>
      <c r="O23" s="62"/>
      <c r="P23" s="62"/>
      <c r="Q23" s="62"/>
      <c r="R23" s="62"/>
      <c r="S23" s="62"/>
      <c r="T23" s="62"/>
      <c r="U23" s="62"/>
      <c r="V23" s="62"/>
      <c r="W23" s="62"/>
      <c r="X23" s="62"/>
      <c r="Y23" s="19"/>
      <c r="Z23" s="19"/>
      <c r="AA23" s="19"/>
      <c r="AB23" s="19"/>
      <c r="AC23" s="19"/>
      <c r="AD23" s="19"/>
    </row>
    <row r="24" spans="1:30" ht="3" customHeight="1"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
      <c r="A25" s="63" t="s">
        <v>53</v>
      </c>
      <c r="B25" s="63"/>
      <c r="C25" s="63"/>
      <c r="D25" s="63"/>
      <c r="E25" s="63"/>
      <c r="F25" s="63"/>
      <c r="G25" s="20"/>
      <c r="H25" s="21"/>
      <c r="I25" s="21"/>
      <c r="J25" s="21"/>
      <c r="K25" s="21"/>
      <c r="L25" s="21"/>
      <c r="M25" s="21"/>
      <c r="N25" s="21"/>
      <c r="O25" s="21"/>
      <c r="P25" s="21"/>
      <c r="Q25" s="21"/>
      <c r="R25" s="21"/>
      <c r="S25" s="21"/>
      <c r="T25" s="21"/>
      <c r="U25" s="21"/>
      <c r="V25" s="21"/>
      <c r="W25" s="21"/>
      <c r="X25" s="21"/>
      <c r="Y25" s="56" t="s">
        <v>52</v>
      </c>
      <c r="Z25" s="56"/>
      <c r="AA25" s="56"/>
      <c r="AB25" s="56"/>
      <c r="AC25" s="56"/>
      <c r="AD25" s="56"/>
    </row>
    <row r="26" spans="1:30" ht="15" customHeight="1" x14ac:dyDescent="0.2">
      <c r="A26" s="56"/>
      <c r="B26" s="56"/>
      <c r="C26" s="56"/>
      <c r="D26" s="56"/>
      <c r="E26" s="56"/>
      <c r="F26" s="56"/>
      <c r="G26" s="64" t="s">
        <v>71</v>
      </c>
      <c r="H26" s="65"/>
      <c r="I26" s="65"/>
      <c r="J26" s="65"/>
      <c r="K26" s="65"/>
      <c r="L26" s="65"/>
      <c r="M26" s="65"/>
      <c r="N26" s="65"/>
      <c r="O26" s="65"/>
      <c r="P26" s="65"/>
      <c r="Q26" s="65"/>
      <c r="R26" s="65"/>
      <c r="S26" s="65"/>
      <c r="T26" s="65"/>
      <c r="U26" s="65"/>
      <c r="V26" s="65"/>
      <c r="W26" s="65"/>
      <c r="X26" s="66"/>
      <c r="Y26" s="56">
        <v>26</v>
      </c>
      <c r="Z26" s="56"/>
      <c r="AA26" s="56"/>
      <c r="AB26" s="56"/>
      <c r="AC26" s="56"/>
      <c r="AD26" s="56"/>
    </row>
    <row r="27" spans="1:30" ht="9" customHeight="1"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ht="2.5" customHeight="1"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
      <c r="A29" s="131" t="s">
        <v>51</v>
      </c>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row>
    <row r="30" spans="1:30"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spans="1:30" ht="12" customHeight="1" x14ac:dyDescent="0.2">
      <c r="A31" s="177" t="s">
        <v>50</v>
      </c>
      <c r="B31" s="177"/>
      <c r="C31" s="177"/>
      <c r="D31" s="177"/>
      <c r="E31" s="177"/>
      <c r="F31" s="177"/>
      <c r="G31" s="177"/>
      <c r="H31" s="177"/>
      <c r="I31" s="177"/>
      <c r="J31" s="177"/>
      <c r="K31" s="82" t="s">
        <v>49</v>
      </c>
      <c r="L31" s="82"/>
      <c r="M31" s="82"/>
      <c r="N31" s="82"/>
      <c r="O31" s="82"/>
      <c r="P31" s="82"/>
      <c r="Q31" s="83" t="s">
        <v>48</v>
      </c>
      <c r="R31" s="84"/>
      <c r="S31" s="84"/>
      <c r="T31" s="84"/>
      <c r="U31" s="84"/>
      <c r="V31" s="84"/>
      <c r="W31" s="84"/>
      <c r="X31" s="84"/>
      <c r="Y31" s="85"/>
      <c r="Z31" s="23"/>
      <c r="AA31" s="84" t="s">
        <v>47</v>
      </c>
      <c r="AB31" s="84"/>
      <c r="AC31" s="84"/>
      <c r="AD31" s="85"/>
    </row>
    <row r="32" spans="1:30" ht="37" customHeight="1" x14ac:dyDescent="0.2">
      <c r="A32" s="88" t="s">
        <v>46</v>
      </c>
      <c r="B32" s="88"/>
      <c r="C32" s="89" t="s">
        <v>45</v>
      </c>
      <c r="D32" s="90"/>
      <c r="E32" s="90"/>
      <c r="F32" s="91"/>
      <c r="G32" s="92" t="s">
        <v>44</v>
      </c>
      <c r="H32" s="92"/>
      <c r="I32" s="92"/>
      <c r="J32" s="92"/>
      <c r="K32" s="92" t="s">
        <v>43</v>
      </c>
      <c r="L32" s="92"/>
      <c r="M32" s="93" t="s">
        <v>42</v>
      </c>
      <c r="N32" s="94"/>
      <c r="O32" s="94"/>
      <c r="P32" s="95"/>
      <c r="Q32" s="92" t="s">
        <v>43</v>
      </c>
      <c r="R32" s="92"/>
      <c r="S32" s="92"/>
      <c r="T32" s="92" t="s">
        <v>42</v>
      </c>
      <c r="U32" s="92"/>
      <c r="V32" s="92"/>
      <c r="W32" s="92"/>
      <c r="X32" s="92"/>
      <c r="Y32" s="92"/>
      <c r="Z32" s="24"/>
      <c r="AA32" s="86"/>
      <c r="AB32" s="86"/>
      <c r="AC32" s="86"/>
      <c r="AD32" s="87"/>
    </row>
    <row r="33" spans="1:31" ht="16.25" customHeight="1" x14ac:dyDescent="0.2">
      <c r="A33" s="184" t="s">
        <v>72</v>
      </c>
      <c r="B33" s="184"/>
      <c r="C33" s="184"/>
      <c r="D33" s="184"/>
      <c r="E33" s="184"/>
      <c r="F33" s="184"/>
      <c r="G33" s="184"/>
      <c r="H33" s="184"/>
      <c r="I33" s="184"/>
      <c r="J33" s="184"/>
      <c r="K33" s="184"/>
      <c r="L33" s="184"/>
      <c r="M33" s="184"/>
      <c r="N33" s="184"/>
      <c r="O33" s="184"/>
      <c r="P33" s="184"/>
      <c r="Q33" s="184"/>
      <c r="R33" s="184"/>
      <c r="S33" s="184"/>
      <c r="T33" s="184"/>
      <c r="U33" s="184"/>
      <c r="V33" s="184"/>
      <c r="W33" s="184"/>
      <c r="X33" s="184"/>
      <c r="Y33" s="184"/>
      <c r="Z33" s="47"/>
      <c r="AA33" s="185"/>
      <c r="AB33" s="185"/>
      <c r="AC33" s="185"/>
      <c r="AD33" s="185"/>
      <c r="AE33" s="6"/>
    </row>
    <row r="34" spans="1:31" ht="46.5" customHeight="1" x14ac:dyDescent="0.2">
      <c r="A34" s="80" t="s">
        <v>107</v>
      </c>
      <c r="B34" s="81"/>
      <c r="C34" s="52" t="s">
        <v>69</v>
      </c>
      <c r="D34" s="53"/>
      <c r="E34" s="53"/>
      <c r="F34" s="54"/>
      <c r="G34" s="52">
        <v>349892162.91428608</v>
      </c>
      <c r="H34" s="53"/>
      <c r="I34" s="53"/>
      <c r="J34" s="54"/>
      <c r="K34" s="96" t="s">
        <v>113</v>
      </c>
      <c r="L34" s="97"/>
      <c r="M34" s="96" t="s">
        <v>114</v>
      </c>
      <c r="N34" s="98"/>
      <c r="O34" s="98"/>
      <c r="P34" s="97"/>
      <c r="Q34" s="99">
        <v>41101024302</v>
      </c>
      <c r="R34" s="100"/>
      <c r="S34" s="101"/>
      <c r="T34" s="102" t="s">
        <v>111</v>
      </c>
      <c r="U34" s="103"/>
      <c r="V34" s="103"/>
      <c r="W34" s="103"/>
      <c r="X34" s="103"/>
      <c r="Y34" s="104"/>
      <c r="Z34" s="10"/>
      <c r="AA34" s="105">
        <f t="shared" ref="AA34" si="0">G34</f>
        <v>349892162.91428608</v>
      </c>
      <c r="AB34" s="106"/>
      <c r="AC34" s="106"/>
      <c r="AD34" s="107"/>
      <c r="AE34" s="5"/>
    </row>
    <row r="35" spans="1:31" ht="16.25" customHeight="1" x14ac:dyDescent="0.2">
      <c r="A35" s="184" t="s">
        <v>70</v>
      </c>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47"/>
      <c r="AA35" s="185"/>
      <c r="AB35" s="185"/>
      <c r="AC35" s="185"/>
      <c r="AD35" s="185"/>
      <c r="AE35" s="6"/>
    </row>
    <row r="36" spans="1:31" ht="12" customHeight="1" x14ac:dyDescent="0.2">
      <c r="A36" s="162" t="s">
        <v>41</v>
      </c>
      <c r="B36" s="163"/>
      <c r="C36" s="163"/>
      <c r="D36" s="163"/>
      <c r="E36" s="163"/>
      <c r="F36" s="163"/>
      <c r="G36" s="163"/>
      <c r="H36" s="163"/>
      <c r="I36" s="163"/>
      <c r="J36" s="163"/>
      <c r="K36" s="163"/>
      <c r="L36" s="163"/>
      <c r="M36" s="163"/>
      <c r="N36" s="163"/>
      <c r="O36" s="163"/>
      <c r="P36" s="163"/>
      <c r="Q36" s="163"/>
      <c r="R36" s="163"/>
      <c r="S36" s="164"/>
      <c r="T36" s="162" t="s">
        <v>40</v>
      </c>
      <c r="U36" s="163"/>
      <c r="V36" s="163"/>
      <c r="W36" s="163"/>
      <c r="X36" s="163"/>
      <c r="Y36" s="163"/>
      <c r="Z36" s="163"/>
      <c r="AA36" s="163"/>
      <c r="AB36" s="163"/>
      <c r="AC36" s="163"/>
      <c r="AD36" s="164"/>
    </row>
    <row r="37" spans="1:31" ht="12" customHeight="1" x14ac:dyDescent="0.2">
      <c r="A37" s="165"/>
      <c r="B37" s="166"/>
      <c r="C37" s="166"/>
      <c r="D37" s="166"/>
      <c r="E37" s="166"/>
      <c r="F37" s="166"/>
      <c r="G37" s="166"/>
      <c r="H37" s="166"/>
      <c r="I37" s="166"/>
      <c r="J37" s="166"/>
      <c r="K37" s="166"/>
      <c r="L37" s="166"/>
      <c r="M37" s="166"/>
      <c r="N37" s="166"/>
      <c r="O37" s="166"/>
      <c r="P37" s="166"/>
      <c r="Q37" s="166"/>
      <c r="R37" s="166"/>
      <c r="S37" s="167"/>
      <c r="T37" s="165"/>
      <c r="U37" s="166"/>
      <c r="V37" s="166"/>
      <c r="W37" s="166"/>
      <c r="X37" s="166"/>
      <c r="Y37" s="166"/>
      <c r="Z37" s="166"/>
      <c r="AA37" s="166"/>
      <c r="AB37" s="166"/>
      <c r="AC37" s="166"/>
      <c r="AD37" s="167"/>
    </row>
    <row r="38" spans="1:31" ht="5.5" customHeight="1" x14ac:dyDescent="0.2">
      <c r="A38" s="181"/>
      <c r="B38" s="182"/>
      <c r="C38" s="182"/>
      <c r="D38" s="182"/>
      <c r="E38" s="182"/>
      <c r="F38" s="182"/>
      <c r="G38" s="182"/>
      <c r="H38" s="182"/>
      <c r="I38" s="182"/>
      <c r="J38" s="182"/>
      <c r="K38" s="182"/>
      <c r="L38" s="182"/>
      <c r="M38" s="182"/>
      <c r="N38" s="182"/>
      <c r="O38" s="182"/>
      <c r="P38" s="182"/>
      <c r="Q38" s="182"/>
      <c r="R38" s="182"/>
      <c r="S38" s="183"/>
      <c r="T38" s="181"/>
      <c r="U38" s="182"/>
      <c r="V38" s="182"/>
      <c r="W38" s="182"/>
      <c r="X38" s="182"/>
      <c r="Y38" s="182"/>
      <c r="Z38" s="182"/>
      <c r="AA38" s="182"/>
      <c r="AB38" s="182"/>
      <c r="AC38" s="182"/>
      <c r="AD38" s="183"/>
    </row>
    <row r="39" spans="1:31" ht="47.25" customHeight="1" x14ac:dyDescent="0.2">
      <c r="A39" s="168" t="s">
        <v>117</v>
      </c>
      <c r="B39" s="169"/>
      <c r="C39" s="169"/>
      <c r="D39" s="169"/>
      <c r="E39" s="169"/>
      <c r="F39" s="169"/>
      <c r="G39" s="169"/>
      <c r="H39" s="169"/>
      <c r="I39" s="169"/>
      <c r="J39" s="169"/>
      <c r="K39" s="169"/>
      <c r="L39" s="169"/>
      <c r="M39" s="169"/>
      <c r="N39" s="169"/>
      <c r="O39" s="169"/>
      <c r="P39" s="169"/>
      <c r="Q39" s="169"/>
      <c r="R39" s="169"/>
      <c r="S39" s="170"/>
      <c r="T39" s="178">
        <f>AA34</f>
        <v>349892162.91428608</v>
      </c>
      <c r="U39" s="179"/>
      <c r="V39" s="179"/>
      <c r="W39" s="179"/>
      <c r="X39" s="179"/>
      <c r="Y39" s="179"/>
      <c r="Z39" s="179"/>
      <c r="AA39" s="179"/>
      <c r="AB39" s="179"/>
      <c r="AC39" s="179"/>
      <c r="AD39" s="180"/>
    </row>
    <row r="40" spans="1:31" ht="17.5" customHeight="1" x14ac:dyDescent="0.2">
      <c r="A40" s="57" t="s">
        <v>39</v>
      </c>
      <c r="B40" s="57"/>
      <c r="C40" s="57"/>
      <c r="D40" s="57"/>
      <c r="E40" s="57"/>
      <c r="F40" s="25" t="s">
        <v>38</v>
      </c>
      <c r="G40" s="26"/>
      <c r="H40" s="26"/>
      <c r="I40" s="26"/>
      <c r="J40" s="26"/>
      <c r="K40" s="26"/>
      <c r="L40" s="27" t="s">
        <v>37</v>
      </c>
      <c r="M40" s="26"/>
      <c r="N40" s="26"/>
      <c r="O40" s="26"/>
      <c r="P40" s="26"/>
      <c r="Q40" s="28" t="s">
        <v>36</v>
      </c>
      <c r="R40" s="26"/>
      <c r="S40" s="26"/>
      <c r="T40" s="26"/>
      <c r="U40" s="26"/>
      <c r="V40" s="26"/>
      <c r="W40" s="26"/>
      <c r="X40" s="26"/>
      <c r="Y40" s="26"/>
      <c r="Z40" s="26"/>
      <c r="AA40" s="26"/>
      <c r="AB40" s="26"/>
      <c r="AC40" s="26"/>
      <c r="AD40" s="29"/>
    </row>
    <row r="41" spans="1:31" ht="15" customHeight="1" x14ac:dyDescent="0.2">
      <c r="A41" s="57"/>
      <c r="B41" s="57"/>
      <c r="C41" s="57"/>
      <c r="D41" s="57"/>
      <c r="E41" s="57"/>
      <c r="F41" s="30"/>
      <c r="G41" s="10"/>
      <c r="H41" s="10"/>
      <c r="I41" s="10"/>
      <c r="J41" s="10"/>
      <c r="K41" s="10"/>
      <c r="L41" s="120"/>
      <c r="M41" s="121"/>
      <c r="N41" s="122"/>
      <c r="O41" s="10"/>
      <c r="P41" s="10"/>
      <c r="Q41" s="123" t="s">
        <v>73</v>
      </c>
      <c r="R41" s="123"/>
      <c r="S41" s="123"/>
      <c r="T41" s="123"/>
      <c r="U41" s="123"/>
      <c r="V41" s="123"/>
      <c r="W41" s="123"/>
      <c r="X41" s="123"/>
      <c r="Y41" s="123"/>
      <c r="Z41" s="123"/>
      <c r="AA41" s="123"/>
      <c r="AB41" s="123"/>
      <c r="AC41" s="123"/>
      <c r="AD41" s="31"/>
    </row>
    <row r="42" spans="1:31" ht="15" customHeight="1" x14ac:dyDescent="0.2">
      <c r="A42" s="57"/>
      <c r="B42" s="57"/>
      <c r="C42" s="57"/>
      <c r="D42" s="57"/>
      <c r="E42" s="57"/>
      <c r="F42" s="30"/>
      <c r="G42" s="198">
        <v>12962</v>
      </c>
      <c r="H42" s="124"/>
      <c r="I42" s="125"/>
      <c r="J42" s="10"/>
      <c r="K42" s="10"/>
      <c r="L42" s="27" t="s">
        <v>35</v>
      </c>
      <c r="M42" s="10"/>
      <c r="N42" s="10"/>
      <c r="O42" s="10"/>
      <c r="P42" s="10"/>
      <c r="Q42" s="123"/>
      <c r="R42" s="123"/>
      <c r="S42" s="123"/>
      <c r="T42" s="123"/>
      <c r="U42" s="123"/>
      <c r="V42" s="123"/>
      <c r="W42" s="123"/>
      <c r="X42" s="123"/>
      <c r="Y42" s="123"/>
      <c r="Z42" s="123"/>
      <c r="AA42" s="123"/>
      <c r="AB42" s="123"/>
      <c r="AC42" s="123"/>
      <c r="AD42" s="31"/>
    </row>
    <row r="43" spans="1:31" ht="15.75" customHeight="1" x14ac:dyDescent="0.2">
      <c r="A43" s="57"/>
      <c r="B43" s="57"/>
      <c r="C43" s="57"/>
      <c r="D43" s="57"/>
      <c r="E43" s="57"/>
      <c r="F43" s="30"/>
      <c r="G43" s="10"/>
      <c r="H43" s="10"/>
      <c r="I43" s="10"/>
      <c r="J43" s="10"/>
      <c r="K43" s="10"/>
      <c r="L43" s="120"/>
      <c r="M43" s="121"/>
      <c r="N43" s="122"/>
      <c r="O43" s="10"/>
      <c r="P43" s="10"/>
      <c r="Q43" s="123"/>
      <c r="R43" s="123"/>
      <c r="S43" s="123"/>
      <c r="T43" s="123"/>
      <c r="U43" s="123"/>
      <c r="V43" s="123"/>
      <c r="W43" s="123"/>
      <c r="X43" s="123"/>
      <c r="Y43" s="123"/>
      <c r="Z43" s="123"/>
      <c r="AA43" s="123"/>
      <c r="AB43" s="123"/>
      <c r="AC43" s="123"/>
      <c r="AD43" s="31"/>
    </row>
    <row r="44" spans="1:31" ht="12" customHeight="1" x14ac:dyDescent="0.2">
      <c r="A44" s="57"/>
      <c r="B44" s="57"/>
      <c r="C44" s="57"/>
      <c r="D44" s="57"/>
      <c r="E44" s="57"/>
      <c r="F44" s="30"/>
      <c r="G44" s="42" t="s">
        <v>34</v>
      </c>
      <c r="H44" s="10"/>
      <c r="I44" s="10"/>
      <c r="J44" s="10"/>
      <c r="K44" s="10"/>
      <c r="L44" s="10"/>
      <c r="M44" s="10"/>
      <c r="N44" s="10"/>
      <c r="O44" s="10"/>
      <c r="P44" s="10"/>
      <c r="Q44" s="10"/>
      <c r="R44" s="10"/>
      <c r="S44" s="10"/>
      <c r="T44" s="10"/>
      <c r="U44" s="10"/>
      <c r="V44" s="10"/>
      <c r="W44" s="10"/>
      <c r="X44" s="10"/>
      <c r="Y44" s="10"/>
      <c r="Z44" s="10"/>
      <c r="AA44" s="10"/>
      <c r="AB44" s="10"/>
      <c r="AC44" s="10"/>
      <c r="AD44" s="31"/>
    </row>
    <row r="45" spans="1:31" ht="20.5" customHeight="1" x14ac:dyDescent="0.2">
      <c r="A45" s="57"/>
      <c r="B45" s="57"/>
      <c r="C45" s="57"/>
      <c r="D45" s="57"/>
      <c r="E45" s="57"/>
      <c r="F45" s="43"/>
      <c r="G45" s="126" t="s">
        <v>108</v>
      </c>
      <c r="H45" s="126"/>
      <c r="I45" s="126"/>
      <c r="J45" s="126"/>
      <c r="K45" s="126"/>
      <c r="L45" s="126"/>
      <c r="M45" s="126"/>
      <c r="N45" s="126"/>
      <c r="O45" s="126"/>
      <c r="P45" s="126"/>
      <c r="Q45" s="126"/>
      <c r="R45" s="126"/>
      <c r="S45" s="126"/>
      <c r="T45" s="126"/>
      <c r="U45" s="126"/>
      <c r="V45" s="126"/>
      <c r="W45" s="126"/>
      <c r="X45" s="126"/>
      <c r="Y45" s="126"/>
      <c r="Z45" s="126"/>
      <c r="AA45" s="126"/>
      <c r="AB45" s="126"/>
      <c r="AC45" s="126"/>
      <c r="AD45" s="44"/>
    </row>
    <row r="46" spans="1:31" ht="8.5" customHeight="1" x14ac:dyDescent="0.2">
      <c r="A46" s="32"/>
      <c r="B46" s="32"/>
      <c r="C46" s="32"/>
      <c r="D46" s="32"/>
      <c r="E46" s="32"/>
      <c r="F46" s="10"/>
      <c r="G46" s="33"/>
      <c r="H46" s="33"/>
      <c r="I46" s="33"/>
      <c r="J46" s="33"/>
      <c r="K46" s="33"/>
      <c r="L46" s="33"/>
      <c r="M46" s="33"/>
      <c r="N46" s="33"/>
      <c r="O46" s="33"/>
      <c r="P46" s="33"/>
      <c r="Q46" s="33"/>
      <c r="R46" s="33"/>
      <c r="S46" s="33"/>
      <c r="T46" s="33"/>
      <c r="U46" s="33"/>
      <c r="V46" s="33"/>
      <c r="W46" s="33"/>
      <c r="X46" s="33"/>
      <c r="Y46" s="33"/>
      <c r="Z46" s="33"/>
      <c r="AA46" s="33"/>
      <c r="AB46" s="33"/>
      <c r="AC46" s="33"/>
      <c r="AD46" s="10"/>
    </row>
    <row r="47" spans="1:31" ht="22.5" customHeight="1" x14ac:dyDescent="0.2">
      <c r="A47" s="127" t="s">
        <v>33</v>
      </c>
      <c r="B47" s="127"/>
      <c r="C47" s="127"/>
      <c r="D47" s="127"/>
      <c r="E47" s="127"/>
      <c r="F47" s="127"/>
      <c r="G47" s="127"/>
      <c r="H47" s="127"/>
      <c r="I47" s="127"/>
      <c r="J47" s="127"/>
      <c r="K47" s="127"/>
      <c r="L47" s="127"/>
      <c r="M47" s="127"/>
      <c r="N47" s="127"/>
      <c r="O47" s="127"/>
      <c r="P47" s="127"/>
      <c r="Q47" s="127"/>
      <c r="R47" s="127"/>
      <c r="S47" s="127"/>
      <c r="T47" s="127"/>
      <c r="U47" s="127"/>
      <c r="V47" s="33"/>
      <c r="W47" s="33"/>
      <c r="X47" s="33"/>
      <c r="Y47" s="33"/>
      <c r="Z47" s="33"/>
      <c r="AA47" s="33"/>
      <c r="AB47" s="33"/>
      <c r="AC47" s="33"/>
      <c r="AD47" s="10"/>
    </row>
    <row r="48" spans="1:31" x14ac:dyDescent="0.2">
      <c r="A48" s="108" t="s">
        <v>32</v>
      </c>
      <c r="B48" s="108"/>
      <c r="C48" s="108"/>
      <c r="D48" s="108"/>
      <c r="E48" s="108"/>
      <c r="F48" s="108"/>
      <c r="G48" s="108"/>
      <c r="H48" s="108"/>
      <c r="I48" s="108"/>
      <c r="J48" s="108"/>
      <c r="K48" s="108"/>
      <c r="L48" s="108"/>
      <c r="M48" s="33"/>
      <c r="N48" s="33"/>
      <c r="O48" s="33"/>
      <c r="P48" s="33"/>
      <c r="Q48" s="33"/>
      <c r="R48" s="33"/>
      <c r="S48" s="33"/>
      <c r="T48" s="33"/>
      <c r="U48" s="33"/>
      <c r="V48" s="33"/>
      <c r="W48" s="33"/>
      <c r="X48" s="33"/>
      <c r="Y48" s="33"/>
      <c r="Z48" s="33"/>
      <c r="AA48" s="33"/>
      <c r="AB48" s="33"/>
      <c r="AC48" s="33"/>
      <c r="AD48" s="10"/>
    </row>
    <row r="49" spans="1:32" ht="17" thickBot="1" x14ac:dyDescent="0.25">
      <c r="A49" s="32"/>
      <c r="B49" s="32"/>
      <c r="C49" s="32"/>
      <c r="D49" s="32"/>
      <c r="E49" s="32"/>
      <c r="F49" s="10"/>
      <c r="G49" s="33"/>
      <c r="H49" s="33"/>
      <c r="I49" s="33"/>
      <c r="J49" s="33"/>
      <c r="K49" s="33"/>
      <c r="L49" s="33"/>
      <c r="M49" s="33"/>
      <c r="N49" s="33"/>
      <c r="O49" s="33"/>
      <c r="P49" s="33"/>
      <c r="Q49" s="33"/>
      <c r="R49" s="33"/>
      <c r="S49" s="33"/>
      <c r="T49" s="33"/>
      <c r="U49" s="33"/>
      <c r="V49" s="33"/>
      <c r="W49" s="33"/>
      <c r="X49" s="33"/>
      <c r="Y49" s="33"/>
      <c r="Z49" s="33"/>
      <c r="AA49" s="33"/>
      <c r="AB49" s="33"/>
      <c r="AC49" s="33"/>
      <c r="AD49" s="10"/>
    </row>
    <row r="50" spans="1:32" ht="17" thickBot="1" x14ac:dyDescent="0.25">
      <c r="A50" s="109" t="s">
        <v>31</v>
      </c>
      <c r="B50" s="110"/>
      <c r="C50" s="111"/>
      <c r="D50" s="34"/>
      <c r="E50" s="109" t="s">
        <v>30</v>
      </c>
      <c r="F50" s="110"/>
      <c r="G50" s="110"/>
      <c r="H50" s="111"/>
      <c r="I50" s="35"/>
      <c r="J50" s="112" t="s">
        <v>29</v>
      </c>
      <c r="K50" s="113"/>
      <c r="L50" s="113"/>
      <c r="M50" s="113"/>
      <c r="N50" s="113"/>
      <c r="O50" s="113"/>
      <c r="P50" s="114"/>
      <c r="Q50" s="115"/>
      <c r="R50" s="116"/>
      <c r="S50" s="117" t="s">
        <v>28</v>
      </c>
      <c r="T50" s="118"/>
      <c r="U50" s="118"/>
      <c r="V50" s="118"/>
      <c r="W50" s="118"/>
      <c r="X50" s="119"/>
      <c r="Y50" s="35" t="s">
        <v>27</v>
      </c>
      <c r="Z50" s="33"/>
      <c r="AA50" s="33"/>
      <c r="AB50" s="33"/>
      <c r="AC50" s="33"/>
      <c r="AD50" s="10"/>
    </row>
    <row r="51" spans="1:32" x14ac:dyDescent="0.2">
      <c r="A51" s="36"/>
      <c r="B51" s="36"/>
      <c r="C51" s="36"/>
      <c r="D51" s="37"/>
      <c r="E51" s="36"/>
      <c r="F51" s="36"/>
      <c r="G51" s="36"/>
      <c r="H51" s="36"/>
      <c r="I51" s="33"/>
      <c r="J51" s="33"/>
      <c r="K51" s="33"/>
      <c r="L51" s="33"/>
      <c r="M51" s="33"/>
      <c r="N51" s="33"/>
      <c r="O51" s="33"/>
      <c r="P51" s="33"/>
      <c r="Q51" s="33"/>
      <c r="R51" s="33"/>
      <c r="S51" s="33"/>
      <c r="T51" s="33"/>
      <c r="U51" s="33"/>
      <c r="V51" s="33"/>
      <c r="W51" s="33"/>
      <c r="X51" s="33"/>
      <c r="Y51" s="33"/>
      <c r="Z51" s="33"/>
      <c r="AA51" s="33"/>
      <c r="AB51" s="33"/>
      <c r="AC51" s="33"/>
      <c r="AD51" s="10"/>
    </row>
    <row r="52" spans="1:32" ht="10.5" customHeight="1" x14ac:dyDescent="0.2">
      <c r="A52" s="130" t="s">
        <v>26</v>
      </c>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row>
    <row r="53" spans="1:32" ht="6" customHeight="1" x14ac:dyDescent="0.2">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spans="1:32" ht="17" customHeight="1" x14ac:dyDescent="0.2">
      <c r="A54" s="131" t="s">
        <v>25</v>
      </c>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row>
    <row r="55" spans="1:32" ht="8.5" customHeight="1" x14ac:dyDescent="0.2">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spans="1:32" ht="21" customHeight="1" x14ac:dyDescent="0.2">
      <c r="A56" s="213" t="s">
        <v>24</v>
      </c>
      <c r="B56" s="214"/>
      <c r="C56" s="214"/>
      <c r="D56" s="215"/>
      <c r="E56" s="96" t="s">
        <v>23</v>
      </c>
      <c r="F56" s="97"/>
      <c r="G56" s="96" t="s">
        <v>22</v>
      </c>
      <c r="H56" s="97"/>
      <c r="I56" s="96" t="s">
        <v>21</v>
      </c>
      <c r="J56" s="97"/>
      <c r="K56" s="96" t="s">
        <v>20</v>
      </c>
      <c r="L56" s="97"/>
      <c r="M56" s="10"/>
      <c r="N56" s="96" t="s">
        <v>19</v>
      </c>
      <c r="O56" s="97"/>
      <c r="P56" s="96" t="s">
        <v>18</v>
      </c>
      <c r="Q56" s="97"/>
      <c r="R56" s="96" t="s">
        <v>17</v>
      </c>
      <c r="S56" s="97"/>
      <c r="T56" s="96" t="s">
        <v>16</v>
      </c>
      <c r="U56" s="97"/>
      <c r="V56" s="96" t="s">
        <v>15</v>
      </c>
      <c r="W56" s="98"/>
      <c r="X56" s="97"/>
      <c r="Y56" s="46" t="s">
        <v>14</v>
      </c>
      <c r="Z56" s="96" t="s">
        <v>13</v>
      </c>
      <c r="AA56" s="97"/>
      <c r="AB56" s="10"/>
      <c r="AC56" s="10"/>
      <c r="AD56" s="10"/>
      <c r="AE56"/>
      <c r="AF56" s="2"/>
    </row>
    <row r="57" spans="1:32" ht="15.75" customHeight="1" x14ac:dyDescent="0.2">
      <c r="A57" s="205" t="s">
        <v>85</v>
      </c>
      <c r="B57" s="206"/>
      <c r="C57" s="206"/>
      <c r="D57" s="207"/>
      <c r="E57" s="189"/>
      <c r="F57" s="204"/>
      <c r="G57" s="189"/>
      <c r="H57" s="204"/>
      <c r="I57" s="134"/>
      <c r="J57" s="136"/>
      <c r="K57" s="189">
        <f>E57+G57+I57</f>
        <v>0</v>
      </c>
      <c r="L57" s="204"/>
      <c r="M57" s="38">
        <v>5</v>
      </c>
      <c r="N57" s="134"/>
      <c r="O57" s="136"/>
      <c r="P57" s="134"/>
      <c r="Q57" s="136"/>
      <c r="R57" s="134"/>
      <c r="S57" s="136"/>
      <c r="T57" s="134"/>
      <c r="U57" s="136"/>
      <c r="V57" s="134"/>
      <c r="W57" s="135"/>
      <c r="X57" s="136"/>
      <c r="Y57" s="39"/>
      <c r="Z57" s="134">
        <f t="shared" ref="Z57:Z61" si="1">+SUM(N57:Y57)</f>
        <v>0</v>
      </c>
      <c r="AA57" s="136"/>
      <c r="AB57" s="10"/>
      <c r="AC57" s="10"/>
      <c r="AD57" s="10"/>
      <c r="AE57" s="3"/>
      <c r="AF57" s="2"/>
    </row>
    <row r="58" spans="1:32" ht="15.75" customHeight="1" x14ac:dyDescent="0.2">
      <c r="A58" s="205" t="s">
        <v>86</v>
      </c>
      <c r="B58" s="206"/>
      <c r="C58" s="206"/>
      <c r="D58" s="207"/>
      <c r="E58" s="134"/>
      <c r="F58" s="136"/>
      <c r="G58" s="134"/>
      <c r="H58" s="136"/>
      <c r="I58" s="134"/>
      <c r="J58" s="136"/>
      <c r="K58" s="189">
        <f>E58+G58+I58</f>
        <v>0</v>
      </c>
      <c r="L58" s="204"/>
      <c r="M58" s="38">
        <v>12</v>
      </c>
      <c r="N58" s="134"/>
      <c r="O58" s="136"/>
      <c r="P58" s="134"/>
      <c r="Q58" s="136"/>
      <c r="R58" s="134"/>
      <c r="S58" s="136"/>
      <c r="T58" s="134"/>
      <c r="U58" s="136"/>
      <c r="V58" s="134"/>
      <c r="W58" s="135"/>
      <c r="X58" s="136"/>
      <c r="Y58" s="39"/>
      <c r="Z58" s="134">
        <f t="shared" si="1"/>
        <v>0</v>
      </c>
      <c r="AA58" s="136"/>
      <c r="AB58" s="10"/>
      <c r="AC58" s="10"/>
      <c r="AD58" s="10"/>
      <c r="AE58"/>
      <c r="AF58" s="2"/>
    </row>
    <row r="59" spans="1:32" ht="15.75" customHeight="1" x14ac:dyDescent="0.2">
      <c r="A59" s="205" t="s">
        <v>87</v>
      </c>
      <c r="B59" s="206"/>
      <c r="C59" s="206"/>
      <c r="D59" s="207"/>
      <c r="E59" s="189"/>
      <c r="F59" s="204"/>
      <c r="G59" s="189"/>
      <c r="H59" s="204"/>
      <c r="I59" s="134"/>
      <c r="J59" s="136"/>
      <c r="K59" s="189">
        <f>E59+G59+I59</f>
        <v>0</v>
      </c>
      <c r="L59" s="204"/>
      <c r="M59" s="38">
        <v>17</v>
      </c>
      <c r="N59" s="134"/>
      <c r="O59" s="136"/>
      <c r="P59" s="134"/>
      <c r="Q59" s="136"/>
      <c r="R59" s="134"/>
      <c r="S59" s="136"/>
      <c r="T59" s="134"/>
      <c r="U59" s="136"/>
      <c r="V59" s="134"/>
      <c r="W59" s="135"/>
      <c r="X59" s="136"/>
      <c r="Y59" s="39"/>
      <c r="Z59" s="134">
        <f t="shared" si="1"/>
        <v>0</v>
      </c>
      <c r="AA59" s="136"/>
      <c r="AB59" s="10"/>
      <c r="AC59" s="10"/>
      <c r="AD59" s="10"/>
      <c r="AE59"/>
      <c r="AF59" s="2"/>
    </row>
    <row r="60" spans="1:32" ht="15.75" customHeight="1" x14ac:dyDescent="0.2">
      <c r="A60" s="205" t="s">
        <v>88</v>
      </c>
      <c r="B60" s="206"/>
      <c r="C60" s="206"/>
      <c r="D60" s="207"/>
      <c r="E60" s="134"/>
      <c r="F60" s="136"/>
      <c r="G60" s="134"/>
      <c r="H60" s="136"/>
      <c r="I60" s="134"/>
      <c r="J60" s="136"/>
      <c r="K60" s="189">
        <f>E60+G60+I60</f>
        <v>0</v>
      </c>
      <c r="L60" s="204"/>
      <c r="M60" s="38">
        <v>21</v>
      </c>
      <c r="N60" s="134"/>
      <c r="O60" s="136"/>
      <c r="P60" s="134"/>
      <c r="Q60" s="136"/>
      <c r="R60" s="134"/>
      <c r="S60" s="136"/>
      <c r="T60" s="134"/>
      <c r="U60" s="136"/>
      <c r="V60" s="134"/>
      <c r="W60" s="135"/>
      <c r="X60" s="136"/>
      <c r="Y60" s="39"/>
      <c r="Z60" s="134">
        <f t="shared" si="1"/>
        <v>0</v>
      </c>
      <c r="AA60" s="136"/>
      <c r="AB60" s="10"/>
      <c r="AC60" s="10"/>
      <c r="AD60" s="10"/>
      <c r="AE60"/>
      <c r="AF60" s="2"/>
    </row>
    <row r="61" spans="1:32" ht="15.75" customHeight="1" x14ac:dyDescent="0.2">
      <c r="A61" s="210" t="s">
        <v>12</v>
      </c>
      <c r="B61" s="211"/>
      <c r="C61" s="211"/>
      <c r="D61" s="212"/>
      <c r="E61" s="189">
        <f>SUM(E57:F60)</f>
        <v>0</v>
      </c>
      <c r="F61" s="204"/>
      <c r="G61" s="189">
        <f>SUM(G57:H60)</f>
        <v>0</v>
      </c>
      <c r="H61" s="204"/>
      <c r="I61" s="134"/>
      <c r="J61" s="136"/>
      <c r="K61" s="208">
        <f>SUM(K57:L60)</f>
        <v>0</v>
      </c>
      <c r="L61" s="209"/>
      <c r="M61" s="38">
        <v>25</v>
      </c>
      <c r="N61" s="134">
        <v>0</v>
      </c>
      <c r="O61" s="136"/>
      <c r="P61" s="134">
        <v>0</v>
      </c>
      <c r="Q61" s="136"/>
      <c r="R61" s="134">
        <v>0</v>
      </c>
      <c r="S61" s="136"/>
      <c r="T61" s="134">
        <v>0</v>
      </c>
      <c r="U61" s="136"/>
      <c r="V61" s="134">
        <v>0</v>
      </c>
      <c r="W61" s="135"/>
      <c r="X61" s="136"/>
      <c r="Y61" s="39"/>
      <c r="Z61" s="134">
        <f t="shared" si="1"/>
        <v>0</v>
      </c>
      <c r="AA61" s="136"/>
      <c r="AB61" s="10"/>
      <c r="AC61" s="10"/>
      <c r="AD61" s="40"/>
      <c r="AE61" s="3"/>
      <c r="AF61" s="2"/>
    </row>
    <row r="62" spans="1:32" ht="12.5" customHeight="1" x14ac:dyDescent="0.2">
      <c r="A62" s="10"/>
      <c r="B62" s="10"/>
      <c r="C62" s="10"/>
      <c r="D62" s="10"/>
      <c r="E62" s="55"/>
      <c r="F62" s="55"/>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spans="1:32" ht="0.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spans="1:32" x14ac:dyDescent="0.2">
      <c r="A64" s="158" t="s">
        <v>11</v>
      </c>
      <c r="B64" s="158"/>
      <c r="C64" s="158"/>
      <c r="D64" s="158"/>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row>
    <row r="65" spans="1:30" ht="21" customHeight="1" x14ac:dyDescent="0.2">
      <c r="A65" s="131" t="s">
        <v>10</v>
      </c>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row>
    <row r="66" spans="1:30" ht="8.5" customHeight="1"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spans="1:30" ht="18" customHeight="1" x14ac:dyDescent="0.2">
      <c r="A67" s="150" t="s">
        <v>84</v>
      </c>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2"/>
    </row>
    <row r="68" spans="1:30" ht="6.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spans="1:30" ht="16.5" customHeight="1" x14ac:dyDescent="0.2">
      <c r="A69" s="131" t="s">
        <v>9</v>
      </c>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row>
    <row r="70" spans="1:30" ht="12" hidden="1" customHeight="1"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spans="1:30" ht="142" customHeight="1" x14ac:dyDescent="0.2">
      <c r="A71" s="159" t="s">
        <v>109</v>
      </c>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0"/>
      <c r="AC71" s="160"/>
      <c r="AD71" s="161"/>
    </row>
    <row r="72" spans="1:30" ht="4.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spans="1:30" x14ac:dyDescent="0.2">
      <c r="A73" s="131" t="s">
        <v>8</v>
      </c>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row>
    <row r="74" spans="1:30" ht="2.25" customHeight="1"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spans="1:30" ht="65.25" customHeight="1" x14ac:dyDescent="0.2">
      <c r="A75" s="150" t="s">
        <v>74</v>
      </c>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2"/>
    </row>
    <row r="76" spans="1:30" ht="5.7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3.5" customHeight="1" x14ac:dyDescent="0.2">
      <c r="A77" s="131" t="s">
        <v>7</v>
      </c>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c r="AA77" s="131"/>
      <c r="AB77" s="131"/>
      <c r="AC77" s="131"/>
      <c r="AD77" s="131"/>
    </row>
    <row r="78" spans="1:30" ht="3.75" customHeight="1"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spans="1:30" ht="36.75" customHeight="1" x14ac:dyDescent="0.2">
      <c r="A79" s="153"/>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C79" s="154"/>
      <c r="AD79" s="155"/>
    </row>
    <row r="80" spans="1:30" x14ac:dyDescent="0.2">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spans="1:30" ht="13.5" customHeight="1" x14ac:dyDescent="0.2">
      <c r="A81" s="10" t="s">
        <v>6</v>
      </c>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spans="1:30"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spans="1:30" ht="15.75" customHeight="1" x14ac:dyDescent="0.2">
      <c r="A83" s="11" t="s">
        <v>5</v>
      </c>
      <c r="B83" s="12"/>
      <c r="C83" s="12"/>
      <c r="D83" s="12"/>
      <c r="E83" s="12"/>
      <c r="F83" s="10"/>
      <c r="G83" s="10"/>
      <c r="H83" s="10"/>
      <c r="I83" s="10"/>
      <c r="J83" s="10"/>
      <c r="K83" s="10"/>
      <c r="L83" s="10"/>
      <c r="M83" s="10"/>
      <c r="N83" s="10"/>
      <c r="O83" s="10"/>
      <c r="P83" s="10"/>
      <c r="Q83" s="11" t="s">
        <v>4</v>
      </c>
      <c r="R83" s="10"/>
      <c r="S83" s="10"/>
      <c r="T83" s="10"/>
      <c r="U83" s="10"/>
      <c r="V83" s="10"/>
      <c r="W83" s="10"/>
      <c r="X83" s="10"/>
      <c r="Y83" s="10"/>
      <c r="Z83" s="10"/>
      <c r="AA83" s="10"/>
      <c r="AB83" s="10"/>
      <c r="AC83" s="10"/>
      <c r="AD83" s="10"/>
    </row>
    <row r="84" spans="1:30" ht="22.5" customHeight="1" x14ac:dyDescent="0.2">
      <c r="A84" s="139" t="s">
        <v>3</v>
      </c>
      <c r="B84" s="139"/>
      <c r="C84" s="139"/>
      <c r="D84" s="156" t="s">
        <v>75</v>
      </c>
      <c r="E84" s="141"/>
      <c r="F84" s="141"/>
      <c r="G84" s="141"/>
      <c r="H84" s="141"/>
      <c r="I84" s="141"/>
      <c r="J84" s="141"/>
      <c r="K84" s="141"/>
      <c r="L84" s="141"/>
      <c r="M84" s="142"/>
      <c r="N84" s="13"/>
      <c r="O84" s="13"/>
      <c r="P84" s="13"/>
      <c r="Q84" s="157" t="s">
        <v>3</v>
      </c>
      <c r="R84" s="157"/>
      <c r="S84" s="157"/>
      <c r="T84" s="156" t="s">
        <v>79</v>
      </c>
      <c r="U84" s="141"/>
      <c r="V84" s="141"/>
      <c r="W84" s="141"/>
      <c r="X84" s="141"/>
      <c r="Y84" s="141"/>
      <c r="Z84" s="141"/>
      <c r="AA84" s="141"/>
      <c r="AB84" s="141"/>
      <c r="AC84" s="141"/>
      <c r="AD84" s="142"/>
    </row>
    <row r="85" spans="1:30" ht="15" customHeight="1" x14ac:dyDescent="0.2">
      <c r="A85" s="139" t="s">
        <v>2</v>
      </c>
      <c r="B85" s="139"/>
      <c r="C85" s="139"/>
      <c r="D85" s="144" t="s">
        <v>76</v>
      </c>
      <c r="E85" s="141"/>
      <c r="F85" s="141"/>
      <c r="G85" s="141"/>
      <c r="H85" s="141"/>
      <c r="I85" s="141"/>
      <c r="J85" s="141"/>
      <c r="K85" s="141"/>
      <c r="L85" s="141"/>
      <c r="M85" s="142"/>
      <c r="N85" s="10"/>
      <c r="O85" s="10"/>
      <c r="P85" s="10"/>
      <c r="Q85" s="139" t="s">
        <v>2</v>
      </c>
      <c r="R85" s="139"/>
      <c r="S85" s="139"/>
      <c r="T85" s="145" t="s">
        <v>80</v>
      </c>
      <c r="U85" s="146"/>
      <c r="V85" s="146"/>
      <c r="W85" s="146"/>
      <c r="X85" s="146"/>
      <c r="Y85" s="146"/>
      <c r="Z85" s="146"/>
      <c r="AA85" s="146"/>
      <c r="AB85" s="146"/>
      <c r="AC85" s="146"/>
      <c r="AD85" s="147"/>
    </row>
    <row r="86" spans="1:30" ht="15" customHeight="1" x14ac:dyDescent="0.2">
      <c r="A86" s="139" t="s">
        <v>1</v>
      </c>
      <c r="B86" s="139"/>
      <c r="C86" s="139"/>
      <c r="D86" s="148" t="s">
        <v>77</v>
      </c>
      <c r="E86" s="141"/>
      <c r="F86" s="141"/>
      <c r="G86" s="141"/>
      <c r="H86" s="141"/>
      <c r="I86" s="141"/>
      <c r="J86" s="141"/>
      <c r="K86" s="141"/>
      <c r="L86" s="141"/>
      <c r="M86" s="142"/>
      <c r="N86" s="10"/>
      <c r="O86" s="10"/>
      <c r="P86" s="10"/>
      <c r="Q86" s="139" t="s">
        <v>1</v>
      </c>
      <c r="R86" s="139"/>
      <c r="S86" s="139"/>
      <c r="T86" s="149" t="s">
        <v>81</v>
      </c>
      <c r="U86" s="141"/>
      <c r="V86" s="141"/>
      <c r="W86" s="141"/>
      <c r="X86" s="141"/>
      <c r="Y86" s="141"/>
      <c r="Z86" s="141"/>
      <c r="AA86" s="141"/>
      <c r="AB86" s="141"/>
      <c r="AC86" s="141"/>
      <c r="AD86" s="142"/>
    </row>
    <row r="87" spans="1:30" ht="15" customHeight="1" x14ac:dyDescent="0.2">
      <c r="A87" s="139" t="s">
        <v>0</v>
      </c>
      <c r="B87" s="139"/>
      <c r="C87" s="139"/>
      <c r="D87" s="140" t="s">
        <v>78</v>
      </c>
      <c r="E87" s="141"/>
      <c r="F87" s="141"/>
      <c r="G87" s="141"/>
      <c r="H87" s="141"/>
      <c r="I87" s="141"/>
      <c r="J87" s="141"/>
      <c r="K87" s="141"/>
      <c r="L87" s="141"/>
      <c r="M87" s="142"/>
      <c r="N87" s="10"/>
      <c r="O87" s="10"/>
      <c r="P87" s="10"/>
      <c r="Q87" s="143" t="s">
        <v>0</v>
      </c>
      <c r="R87" s="143"/>
      <c r="S87" s="143"/>
      <c r="T87" s="144" t="s">
        <v>82</v>
      </c>
      <c r="U87" s="141"/>
      <c r="V87" s="141"/>
      <c r="W87" s="141"/>
      <c r="X87" s="141"/>
      <c r="Y87" s="141"/>
      <c r="Z87" s="141"/>
      <c r="AA87" s="141"/>
      <c r="AB87" s="141"/>
      <c r="AC87" s="141"/>
      <c r="AD87" s="142"/>
    </row>
    <row r="88" spans="1:30"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sheetData>
  <mergeCells count="154">
    <mergeCell ref="A4:G4"/>
    <mergeCell ref="A33:Y33"/>
    <mergeCell ref="AA33:AD33"/>
    <mergeCell ref="A35:Y35"/>
    <mergeCell ref="AA35:AD35"/>
    <mergeCell ref="A1:C2"/>
    <mergeCell ref="D1:V2"/>
    <mergeCell ref="W1:Z1"/>
    <mergeCell ref="AA1:AD1"/>
    <mergeCell ref="W2:Z2"/>
    <mergeCell ref="AA2:AD2"/>
    <mergeCell ref="G23:X23"/>
    <mergeCell ref="A25:F25"/>
    <mergeCell ref="Y25:AD25"/>
    <mergeCell ref="A26:F26"/>
    <mergeCell ref="G26:X26"/>
    <mergeCell ref="Y26:AD26"/>
    <mergeCell ref="A19:AD19"/>
    <mergeCell ref="A21:F22"/>
    <mergeCell ref="G21:X21"/>
    <mergeCell ref="Y21:AD21"/>
    <mergeCell ref="G22:X22"/>
    <mergeCell ref="Y22:AD22"/>
    <mergeCell ref="Q32:S32"/>
    <mergeCell ref="T32:Y32"/>
    <mergeCell ref="A29:AD29"/>
    <mergeCell ref="A31:J31"/>
    <mergeCell ref="K31:P31"/>
    <mergeCell ref="Q31:Y31"/>
    <mergeCell ref="AA31:AD32"/>
    <mergeCell ref="A32:B32"/>
    <mergeCell ref="C32:F32"/>
    <mergeCell ref="G32:J32"/>
    <mergeCell ref="K32:L32"/>
    <mergeCell ref="M32:P32"/>
    <mergeCell ref="A36:S38"/>
    <mergeCell ref="T36:AD38"/>
    <mergeCell ref="A34:B34"/>
    <mergeCell ref="C34:F34"/>
    <mergeCell ref="G34:J34"/>
    <mergeCell ref="K34:L34"/>
    <mergeCell ref="M34:P34"/>
    <mergeCell ref="Q34:S34"/>
    <mergeCell ref="T34:Y34"/>
    <mergeCell ref="AA34:AD34"/>
    <mergeCell ref="A47:U47"/>
    <mergeCell ref="A48:L48"/>
    <mergeCell ref="A50:C50"/>
    <mergeCell ref="E50:H50"/>
    <mergeCell ref="J50:P50"/>
    <mergeCell ref="Q50:R50"/>
    <mergeCell ref="S50:X50"/>
    <mergeCell ref="A39:S39"/>
    <mergeCell ref="T39:AD39"/>
    <mergeCell ref="A40:E45"/>
    <mergeCell ref="L41:N41"/>
    <mergeCell ref="Q41:AC43"/>
    <mergeCell ref="G42:I42"/>
    <mergeCell ref="L43:N43"/>
    <mergeCell ref="G45:AC45"/>
    <mergeCell ref="A59:D59"/>
    <mergeCell ref="E59:F59"/>
    <mergeCell ref="G59:H59"/>
    <mergeCell ref="I59:J59"/>
    <mergeCell ref="K59:L59"/>
    <mergeCell ref="N59:O59"/>
    <mergeCell ref="P59:Q59"/>
    <mergeCell ref="A52:AD52"/>
    <mergeCell ref="A54:AD54"/>
    <mergeCell ref="A56:D56"/>
    <mergeCell ref="E56:F56"/>
    <mergeCell ref="G56:H56"/>
    <mergeCell ref="I56:J56"/>
    <mergeCell ref="K56:L56"/>
    <mergeCell ref="N56:O56"/>
    <mergeCell ref="P56:Q56"/>
    <mergeCell ref="R56:S56"/>
    <mergeCell ref="T56:U56"/>
    <mergeCell ref="V56:X56"/>
    <mergeCell ref="Z56:AA56"/>
    <mergeCell ref="R57:S57"/>
    <mergeCell ref="T57:U57"/>
    <mergeCell ref="V57:X57"/>
    <mergeCell ref="Z57:AA57"/>
    <mergeCell ref="A58:D58"/>
    <mergeCell ref="E58:F58"/>
    <mergeCell ref="G58:H58"/>
    <mergeCell ref="I58:J58"/>
    <mergeCell ref="K58:L58"/>
    <mergeCell ref="N58:O58"/>
    <mergeCell ref="A57:D57"/>
    <mergeCell ref="E57:F57"/>
    <mergeCell ref="G57:H57"/>
    <mergeCell ref="I57:J57"/>
    <mergeCell ref="K57:L57"/>
    <mergeCell ref="N57:O57"/>
    <mergeCell ref="P57:Q57"/>
    <mergeCell ref="R59:S59"/>
    <mergeCell ref="T59:U59"/>
    <mergeCell ref="V59:X59"/>
    <mergeCell ref="Z59:AA59"/>
    <mergeCell ref="P58:Q58"/>
    <mergeCell ref="R58:S58"/>
    <mergeCell ref="T58:U58"/>
    <mergeCell ref="V58:X58"/>
    <mergeCell ref="Z58:AA58"/>
    <mergeCell ref="A61:D61"/>
    <mergeCell ref="E61:F61"/>
    <mergeCell ref="G61:H61"/>
    <mergeCell ref="I61:J61"/>
    <mergeCell ref="K61:L61"/>
    <mergeCell ref="A60:D60"/>
    <mergeCell ref="E60:F60"/>
    <mergeCell ref="G60:H60"/>
    <mergeCell ref="I60:J60"/>
    <mergeCell ref="K60:L60"/>
    <mergeCell ref="N61:O61"/>
    <mergeCell ref="P61:Q61"/>
    <mergeCell ref="R61:S61"/>
    <mergeCell ref="T61:U61"/>
    <mergeCell ref="V61:X61"/>
    <mergeCell ref="Z61:AA61"/>
    <mergeCell ref="P60:Q60"/>
    <mergeCell ref="R60:S60"/>
    <mergeCell ref="T60:U60"/>
    <mergeCell ref="V60:X60"/>
    <mergeCell ref="Z60:AA60"/>
    <mergeCell ref="N60:O60"/>
    <mergeCell ref="A73:AD73"/>
    <mergeCell ref="A75:AD75"/>
    <mergeCell ref="A77:AD77"/>
    <mergeCell ref="A79:AD79"/>
    <mergeCell ref="A84:C84"/>
    <mergeCell ref="D84:M84"/>
    <mergeCell ref="Q84:S84"/>
    <mergeCell ref="T84:AD84"/>
    <mergeCell ref="E62:F62"/>
    <mergeCell ref="A64:AD64"/>
    <mergeCell ref="A65:AD65"/>
    <mergeCell ref="A67:AD67"/>
    <mergeCell ref="A69:AD69"/>
    <mergeCell ref="A71:AD71"/>
    <mergeCell ref="A87:C87"/>
    <mergeCell ref="D87:M87"/>
    <mergeCell ref="Q87:S87"/>
    <mergeCell ref="T87:AD87"/>
    <mergeCell ref="A85:C85"/>
    <mergeCell ref="D85:M85"/>
    <mergeCell ref="Q85:S85"/>
    <mergeCell ref="T85:AD85"/>
    <mergeCell ref="A86:C86"/>
    <mergeCell ref="D86:M86"/>
    <mergeCell ref="Q86:S86"/>
    <mergeCell ref="T86:AD86"/>
  </mergeCells>
  <hyperlinks>
    <hyperlink ref="D86" r:id="rId1" xr:uid="{C848353F-35BA-47FD-BF19-9BF59096614B}"/>
    <hyperlink ref="T86" r:id="rId2" xr:uid="{3DE473B5-C607-431A-99AE-A1CEF95A26D2}"/>
  </hyperlinks>
  <pageMargins left="0.7" right="0.7" top="0.75" bottom="0.75" header="0.3" footer="0.3"/>
  <pageSetup scale="63" fitToHeight="0" orientation="portrait" r:id="rId3"/>
  <headerFooter>
    <oddFooter>&amp;C&amp;G</oddFooter>
  </headerFooter>
  <rowBreaks count="1" manualBreakCount="1">
    <brk id="62" max="29" man="1"/>
  </rowBreaks>
  <drawing r:id="rId4"/>
  <legacyDrawingHF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0639-44A0-45A6-8B3A-8213E33F3D64}">
  <sheetPr>
    <pageSetUpPr fitToPage="1"/>
  </sheetPr>
  <dimension ref="A1:AU86"/>
  <sheetViews>
    <sheetView view="pageBreakPreview" topLeftCell="A21" zoomScale="141" zoomScaleNormal="130" zoomScaleSheetLayoutView="141" zoomScalePageLayoutView="40" workbookViewId="0">
      <selection activeCell="T37" sqref="T37:AD37"/>
    </sheetView>
  </sheetViews>
  <sheetFormatPr baseColWidth="10" defaultColWidth="3.83203125" defaultRowHeight="16" x14ac:dyDescent="0.2"/>
  <cols>
    <col min="1" max="1" width="6" style="1" customWidth="1"/>
    <col min="2" max="2" width="9.1640625" style="1" customWidth="1"/>
    <col min="3" max="4" width="5.1640625" style="1" customWidth="1"/>
    <col min="5" max="5" width="2.5" style="1" customWidth="1"/>
    <col min="6" max="6" width="5.5" style="1" customWidth="1"/>
    <col min="7" max="7" width="7.6640625" style="1" bestFit="1" customWidth="1"/>
    <col min="8" max="8" width="1.5" style="1" customWidth="1"/>
    <col min="9" max="9" width="7.33203125" style="1" customWidth="1"/>
    <col min="10" max="10" width="1.33203125" style="1" customWidth="1"/>
    <col min="11" max="11" width="2.5" style="1" customWidth="1"/>
    <col min="12" max="12" width="8.83203125" style="1" customWidth="1"/>
    <col min="13" max="13" width="3.83203125" style="1"/>
    <col min="14" max="14" width="4.5" style="1" customWidth="1"/>
    <col min="15" max="15" width="3.83203125" style="1"/>
    <col min="16" max="16" width="2.5" style="1" customWidth="1"/>
    <col min="17" max="18" width="2.6640625" style="1" customWidth="1"/>
    <col min="19" max="19" width="5.6640625" style="1" customWidth="1"/>
    <col min="20" max="21" width="3.83203125" style="1"/>
    <col min="22" max="22" width="2.1640625" style="1" customWidth="1"/>
    <col min="23" max="24" width="3.83203125" style="1"/>
    <col min="25" max="25" width="14.33203125" style="1" customWidth="1"/>
    <col min="26" max="26" width="1.83203125" style="1" customWidth="1"/>
    <col min="27" max="27" width="3.83203125" style="1"/>
    <col min="28" max="28" width="3.83203125" style="1" customWidth="1"/>
    <col min="29" max="29" width="2.83203125" style="1" customWidth="1"/>
    <col min="30" max="30" width="9.6640625" style="1" bestFit="1" customWidth="1"/>
    <col min="31" max="31" width="21.5" style="1" bestFit="1" customWidth="1"/>
    <col min="32" max="32" width="11.83203125" style="1" customWidth="1"/>
    <col min="33" max="16384" width="3.83203125" style="1"/>
  </cols>
  <sheetData>
    <row r="1" spans="1:30" ht="24" customHeight="1" x14ac:dyDescent="0.2">
      <c r="A1" s="56"/>
      <c r="B1" s="56"/>
      <c r="C1" s="56"/>
      <c r="D1" s="57" t="s">
        <v>65</v>
      </c>
      <c r="E1" s="57"/>
      <c r="F1" s="57"/>
      <c r="G1" s="57"/>
      <c r="H1" s="57"/>
      <c r="I1" s="57"/>
      <c r="J1" s="57"/>
      <c r="K1" s="57"/>
      <c r="L1" s="57"/>
      <c r="M1" s="57"/>
      <c r="N1" s="57"/>
      <c r="O1" s="57"/>
      <c r="P1" s="57"/>
      <c r="Q1" s="57"/>
      <c r="R1" s="57"/>
      <c r="S1" s="57"/>
      <c r="T1" s="57"/>
      <c r="U1" s="57"/>
      <c r="V1" s="57"/>
      <c r="W1" s="58" t="s">
        <v>64</v>
      </c>
      <c r="X1" s="59"/>
      <c r="Y1" s="59"/>
      <c r="Z1" s="60"/>
      <c r="AA1" s="61" t="s">
        <v>63</v>
      </c>
      <c r="AB1" s="61"/>
      <c r="AC1" s="61"/>
      <c r="AD1" s="61"/>
    </row>
    <row r="2" spans="1:30" ht="41.5" customHeight="1" x14ac:dyDescent="0.2">
      <c r="A2" s="56"/>
      <c r="B2" s="56"/>
      <c r="C2" s="56"/>
      <c r="D2" s="57"/>
      <c r="E2" s="57"/>
      <c r="F2" s="57"/>
      <c r="G2" s="57"/>
      <c r="H2" s="57"/>
      <c r="I2" s="57"/>
      <c r="J2" s="57"/>
      <c r="K2" s="57"/>
      <c r="L2" s="57"/>
      <c r="M2" s="57"/>
      <c r="N2" s="57"/>
      <c r="O2" s="57"/>
      <c r="P2" s="57"/>
      <c r="Q2" s="57"/>
      <c r="R2" s="57"/>
      <c r="S2" s="57"/>
      <c r="T2" s="57"/>
      <c r="U2" s="57"/>
      <c r="V2" s="57"/>
      <c r="W2" s="58" t="s">
        <v>62</v>
      </c>
      <c r="X2" s="59"/>
      <c r="Y2" s="59"/>
      <c r="Z2" s="60"/>
      <c r="AA2" s="61" t="s">
        <v>61</v>
      </c>
      <c r="AB2" s="61"/>
      <c r="AC2" s="61"/>
      <c r="AD2" s="61"/>
    </row>
    <row r="3" spans="1:30" x14ac:dyDescent="0.2">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16" customHeight="1" x14ac:dyDescent="0.2">
      <c r="A4" s="190" t="s">
        <v>89</v>
      </c>
      <c r="B4" s="190"/>
      <c r="C4" s="190"/>
      <c r="D4" s="190"/>
      <c r="E4" s="190"/>
      <c r="F4" s="190"/>
      <c r="G4" s="190"/>
      <c r="H4" s="10"/>
      <c r="I4" s="10"/>
      <c r="J4" s="10"/>
      <c r="K4" s="10"/>
      <c r="L4" s="10"/>
      <c r="M4" s="10"/>
      <c r="N4" s="10"/>
      <c r="O4" s="10"/>
      <c r="P4" s="10"/>
      <c r="Q4" s="10"/>
      <c r="R4" s="10"/>
      <c r="S4" s="10"/>
      <c r="T4" s="10"/>
      <c r="U4" s="10"/>
      <c r="V4" s="10"/>
      <c r="W4" s="10"/>
      <c r="X4" s="10"/>
      <c r="Y4" s="10"/>
      <c r="Z4" s="10"/>
      <c r="AA4" s="10"/>
      <c r="AB4" s="10"/>
      <c r="AC4" s="10"/>
      <c r="AD4" s="10"/>
    </row>
    <row r="5" spans="1:30" ht="7.25" customHeight="1" x14ac:dyDescent="0.2">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ht="16" customHeight="1" x14ac:dyDescent="0.2">
      <c r="A6" s="14" t="s">
        <v>67</v>
      </c>
      <c r="B6" s="14"/>
      <c r="C6" s="14"/>
      <c r="D6" s="14"/>
      <c r="E6" s="14"/>
      <c r="F6" s="14"/>
      <c r="G6" s="14"/>
      <c r="H6" s="14"/>
      <c r="I6" s="14"/>
      <c r="J6" s="10"/>
      <c r="K6" s="10"/>
      <c r="L6" s="10"/>
      <c r="M6" s="10"/>
      <c r="N6" s="10"/>
      <c r="O6" s="10"/>
      <c r="P6" s="10"/>
      <c r="Q6" s="10"/>
      <c r="R6" s="10"/>
      <c r="S6" s="10"/>
      <c r="T6" s="10"/>
      <c r="U6" s="10"/>
      <c r="V6" s="10"/>
      <c r="W6" s="10"/>
      <c r="X6" s="10"/>
      <c r="Y6" s="10"/>
      <c r="Z6" s="10"/>
      <c r="AA6" s="10"/>
      <c r="AB6" s="10"/>
      <c r="AC6" s="10"/>
      <c r="AD6" s="10"/>
    </row>
    <row r="7" spans="1:30" x14ac:dyDescent="0.2">
      <c r="A7" s="15" t="s">
        <v>68</v>
      </c>
      <c r="B7" s="15"/>
      <c r="C7" s="15"/>
      <c r="D7" s="15"/>
      <c r="E7" s="15"/>
      <c r="F7" s="15"/>
      <c r="G7" s="15"/>
      <c r="H7" s="15"/>
      <c r="I7" s="15"/>
      <c r="J7" s="10"/>
      <c r="K7" s="10"/>
      <c r="L7" s="10"/>
      <c r="M7" s="10"/>
      <c r="N7" s="10"/>
      <c r="O7" s="10"/>
      <c r="P7" s="10"/>
      <c r="Q7" s="10"/>
      <c r="R7" s="10"/>
      <c r="S7" s="10"/>
      <c r="T7" s="10"/>
      <c r="U7" s="10"/>
      <c r="V7" s="10"/>
      <c r="W7" s="10"/>
      <c r="X7" s="10"/>
      <c r="Y7" s="10"/>
      <c r="Z7" s="10"/>
      <c r="AA7" s="10"/>
      <c r="AB7" s="10"/>
      <c r="AC7" s="10"/>
      <c r="AD7" s="10"/>
    </row>
    <row r="8" spans="1:30" ht="16" customHeight="1" x14ac:dyDescent="0.2">
      <c r="A8" s="16" t="s">
        <v>66</v>
      </c>
      <c r="B8" s="17"/>
      <c r="C8" s="17"/>
      <c r="D8" s="17"/>
      <c r="E8" s="17"/>
      <c r="F8" s="17"/>
      <c r="G8" s="17"/>
      <c r="H8" s="17"/>
      <c r="I8" s="17"/>
      <c r="J8" s="10"/>
      <c r="K8" s="10"/>
      <c r="L8" s="10"/>
      <c r="M8" s="10"/>
      <c r="N8" s="10"/>
      <c r="O8" s="10"/>
      <c r="P8" s="10"/>
      <c r="Q8" s="10"/>
      <c r="R8" s="10"/>
      <c r="S8" s="10"/>
      <c r="T8" s="10"/>
      <c r="U8" s="10"/>
      <c r="V8" s="10"/>
      <c r="W8" s="10"/>
      <c r="X8" s="10"/>
      <c r="Y8" s="10"/>
      <c r="Z8" s="10"/>
      <c r="AA8" s="10"/>
      <c r="AB8" s="10"/>
      <c r="AC8" s="10"/>
      <c r="AD8" s="10"/>
    </row>
    <row r="9" spans="1:30" ht="16" customHeight="1" x14ac:dyDescent="0.2">
      <c r="A9" s="16" t="s">
        <v>60</v>
      </c>
      <c r="B9" s="17"/>
      <c r="C9" s="17"/>
      <c r="D9" s="17"/>
      <c r="E9" s="17"/>
      <c r="F9" s="17"/>
      <c r="G9" s="17"/>
      <c r="H9" s="17"/>
      <c r="I9" s="17"/>
      <c r="J9" s="10"/>
      <c r="K9" s="10"/>
      <c r="L9" s="10"/>
      <c r="M9" s="10"/>
      <c r="N9" s="10"/>
      <c r="O9" s="10"/>
      <c r="P9" s="10"/>
      <c r="Q9" s="10"/>
      <c r="R9" s="10"/>
      <c r="S9" s="10"/>
      <c r="T9" s="10"/>
      <c r="U9" s="10"/>
      <c r="V9" s="10"/>
      <c r="W9" s="10"/>
      <c r="X9" s="10"/>
      <c r="Y9" s="10"/>
      <c r="Z9" s="10"/>
      <c r="AA9" s="10"/>
      <c r="AB9" s="10"/>
      <c r="AC9" s="10"/>
      <c r="AD9" s="10"/>
    </row>
    <row r="10" spans="1:30" ht="10.5" customHeight="1" x14ac:dyDescent="0.2">
      <c r="A10" s="18"/>
      <c r="B10" s="18"/>
      <c r="C10" s="18"/>
      <c r="D10" s="18"/>
      <c r="E10" s="18"/>
      <c r="F10" s="18"/>
      <c r="G10" s="18"/>
      <c r="H10" s="18"/>
      <c r="I10" s="18"/>
      <c r="J10" s="10"/>
      <c r="K10" s="10"/>
      <c r="L10" s="10"/>
      <c r="M10" s="10"/>
      <c r="N10" s="10"/>
      <c r="O10" s="10"/>
      <c r="P10" s="10"/>
      <c r="Q10" s="10"/>
      <c r="R10" s="10"/>
      <c r="S10" s="10"/>
      <c r="T10" s="10"/>
      <c r="U10" s="10"/>
      <c r="V10" s="10"/>
      <c r="W10" s="10"/>
      <c r="X10" s="10"/>
      <c r="Y10" s="10"/>
      <c r="Z10" s="10"/>
      <c r="AA10" s="10"/>
      <c r="AB10" s="10"/>
      <c r="AC10" s="10"/>
      <c r="AD10" s="10"/>
    </row>
    <row r="11" spans="1:30" ht="10.5" customHeight="1" x14ac:dyDescent="0.2">
      <c r="A11" s="18"/>
      <c r="B11" s="18"/>
      <c r="C11" s="18"/>
      <c r="D11" s="18"/>
      <c r="E11" s="18"/>
      <c r="F11" s="18"/>
      <c r="G11" s="18"/>
      <c r="H11" s="18"/>
      <c r="I11" s="18"/>
      <c r="J11" s="10"/>
      <c r="K11" s="10"/>
      <c r="L11" s="10"/>
      <c r="M11" s="10"/>
      <c r="N11" s="10"/>
      <c r="O11" s="10"/>
      <c r="P11" s="10"/>
      <c r="Q11" s="10"/>
      <c r="R11" s="10"/>
      <c r="S11" s="10"/>
      <c r="T11" s="10"/>
      <c r="U11" s="10"/>
      <c r="V11" s="10"/>
      <c r="W11" s="10"/>
      <c r="X11" s="10"/>
      <c r="Y11" s="10"/>
      <c r="Z11" s="10"/>
      <c r="AA11" s="10"/>
      <c r="AB11" s="10"/>
      <c r="AC11" s="10"/>
      <c r="AD11" s="10"/>
    </row>
    <row r="12" spans="1:30" ht="3.5" customHeight="1" x14ac:dyDescent="0.2">
      <c r="A12" s="18"/>
      <c r="B12" s="18"/>
      <c r="C12" s="18"/>
      <c r="D12" s="18"/>
      <c r="E12" s="18"/>
      <c r="F12" s="18"/>
      <c r="G12" s="18"/>
      <c r="H12" s="18"/>
      <c r="I12" s="18"/>
      <c r="J12" s="10"/>
      <c r="K12" s="10"/>
      <c r="L12" s="10"/>
      <c r="M12" s="10"/>
      <c r="N12" s="10"/>
      <c r="O12" s="10"/>
      <c r="P12" s="10"/>
      <c r="Q12" s="10"/>
      <c r="R12" s="10"/>
      <c r="S12" s="10"/>
      <c r="T12" s="10"/>
      <c r="U12" s="10"/>
      <c r="V12" s="10"/>
      <c r="W12" s="10"/>
      <c r="X12" s="10"/>
      <c r="Y12" s="10"/>
      <c r="Z12" s="10"/>
      <c r="AA12" s="10"/>
      <c r="AB12" s="10"/>
      <c r="AC12" s="10"/>
      <c r="AD12" s="10"/>
    </row>
    <row r="13" spans="1:30" x14ac:dyDescent="0.2">
      <c r="A13" s="10" t="s">
        <v>59</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row>
    <row r="14" spans="1:30" x14ac:dyDescent="0.2">
      <c r="A14" s="10" t="s">
        <v>58</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
      <c r="A16" s="10" t="s">
        <v>57</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1" x14ac:dyDescent="0.2">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1" ht="31" customHeight="1" x14ac:dyDescent="0.2">
      <c r="A18" s="67" t="s">
        <v>56</v>
      </c>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row>
    <row r="19" spans="1:31" x14ac:dyDescent="0.2">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1" x14ac:dyDescent="0.2">
      <c r="A20" s="68" t="s">
        <v>55</v>
      </c>
      <c r="B20" s="69"/>
      <c r="C20" s="69"/>
      <c r="D20" s="69"/>
      <c r="E20" s="69"/>
      <c r="F20" s="70"/>
      <c r="G20" s="74" t="s">
        <v>3</v>
      </c>
      <c r="H20" s="75"/>
      <c r="I20" s="75"/>
      <c r="J20" s="75"/>
      <c r="K20" s="75"/>
      <c r="L20" s="75"/>
      <c r="M20" s="75"/>
      <c r="N20" s="75"/>
      <c r="O20" s="75"/>
      <c r="P20" s="75"/>
      <c r="Q20" s="75"/>
      <c r="R20" s="75"/>
      <c r="S20" s="75"/>
      <c r="T20" s="75"/>
      <c r="U20" s="75"/>
      <c r="V20" s="75"/>
      <c r="W20" s="75"/>
      <c r="X20" s="76"/>
      <c r="Y20" s="74" t="s">
        <v>54</v>
      </c>
      <c r="Z20" s="75"/>
      <c r="AA20" s="75"/>
      <c r="AB20" s="75"/>
      <c r="AC20" s="75"/>
      <c r="AD20" s="76"/>
    </row>
    <row r="21" spans="1:31" ht="39" customHeight="1" x14ac:dyDescent="0.2">
      <c r="A21" s="71"/>
      <c r="B21" s="72"/>
      <c r="C21" s="72"/>
      <c r="D21" s="72"/>
      <c r="E21" s="72"/>
      <c r="F21" s="73"/>
      <c r="G21" s="77" t="s">
        <v>91</v>
      </c>
      <c r="H21" s="78"/>
      <c r="I21" s="78"/>
      <c r="J21" s="78"/>
      <c r="K21" s="78"/>
      <c r="L21" s="78"/>
      <c r="M21" s="78"/>
      <c r="N21" s="78"/>
      <c r="O21" s="78"/>
      <c r="P21" s="78"/>
      <c r="Q21" s="78"/>
      <c r="R21" s="78"/>
      <c r="S21" s="78"/>
      <c r="T21" s="78"/>
      <c r="U21" s="78"/>
      <c r="V21" s="78"/>
      <c r="W21" s="78"/>
      <c r="X21" s="79"/>
      <c r="Y21" s="174" t="s">
        <v>90</v>
      </c>
      <c r="Z21" s="175"/>
      <c r="AA21" s="175"/>
      <c r="AB21" s="175"/>
      <c r="AC21" s="175"/>
      <c r="AD21" s="176"/>
    </row>
    <row r="22" spans="1:31" ht="5.5" customHeight="1" x14ac:dyDescent="0.2">
      <c r="A22" s="10"/>
      <c r="B22" s="10"/>
      <c r="C22" s="10"/>
      <c r="D22" s="10"/>
      <c r="E22" s="10"/>
      <c r="F22" s="10"/>
      <c r="G22" s="62"/>
      <c r="H22" s="62"/>
      <c r="I22" s="62"/>
      <c r="J22" s="62"/>
      <c r="K22" s="62"/>
      <c r="L22" s="62"/>
      <c r="M22" s="62"/>
      <c r="N22" s="62"/>
      <c r="O22" s="62"/>
      <c r="P22" s="62"/>
      <c r="Q22" s="62"/>
      <c r="R22" s="62"/>
      <c r="S22" s="62"/>
      <c r="T22" s="62"/>
      <c r="U22" s="62"/>
      <c r="V22" s="62"/>
      <c r="W22" s="62"/>
      <c r="X22" s="62"/>
      <c r="Y22" s="19"/>
      <c r="Z22" s="19"/>
      <c r="AA22" s="19"/>
      <c r="AB22" s="19"/>
      <c r="AC22" s="19"/>
      <c r="AD22" s="19"/>
    </row>
    <row r="23" spans="1:31" ht="3" customHeight="1"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1" x14ac:dyDescent="0.2">
      <c r="A24" s="63" t="s">
        <v>53</v>
      </c>
      <c r="B24" s="63"/>
      <c r="C24" s="63"/>
      <c r="D24" s="63"/>
      <c r="E24" s="63"/>
      <c r="F24" s="63"/>
      <c r="G24" s="20"/>
      <c r="H24" s="21"/>
      <c r="I24" s="21"/>
      <c r="J24" s="21"/>
      <c r="K24" s="21"/>
      <c r="L24" s="21"/>
      <c r="M24" s="21"/>
      <c r="N24" s="21"/>
      <c r="O24" s="21"/>
      <c r="P24" s="21"/>
      <c r="Q24" s="21"/>
      <c r="R24" s="21"/>
      <c r="S24" s="21"/>
      <c r="T24" s="21"/>
      <c r="U24" s="21"/>
      <c r="V24" s="21"/>
      <c r="W24" s="21"/>
      <c r="X24" s="21"/>
      <c r="Y24" s="56" t="s">
        <v>52</v>
      </c>
      <c r="Z24" s="56"/>
      <c r="AA24" s="56"/>
      <c r="AB24" s="56"/>
      <c r="AC24" s="56"/>
      <c r="AD24" s="56"/>
    </row>
    <row r="25" spans="1:31" ht="15" customHeight="1" x14ac:dyDescent="0.2">
      <c r="A25" s="56"/>
      <c r="B25" s="56"/>
      <c r="C25" s="56"/>
      <c r="D25" s="56"/>
      <c r="E25" s="56"/>
      <c r="F25" s="56"/>
      <c r="G25" s="64" t="s">
        <v>71</v>
      </c>
      <c r="H25" s="65"/>
      <c r="I25" s="65"/>
      <c r="J25" s="65"/>
      <c r="K25" s="65"/>
      <c r="L25" s="65"/>
      <c r="M25" s="65"/>
      <c r="N25" s="65"/>
      <c r="O25" s="65"/>
      <c r="P25" s="65"/>
      <c r="Q25" s="65"/>
      <c r="R25" s="65"/>
      <c r="S25" s="65"/>
      <c r="T25" s="65"/>
      <c r="U25" s="65"/>
      <c r="V25" s="65"/>
      <c r="W25" s="65"/>
      <c r="X25" s="66"/>
      <c r="Y25" s="56">
        <v>26</v>
      </c>
      <c r="Z25" s="56"/>
      <c r="AA25" s="56"/>
      <c r="AB25" s="56"/>
      <c r="AC25" s="56"/>
      <c r="AD25" s="56"/>
    </row>
    <row r="26" spans="1:31" ht="9" customHeight="1" x14ac:dyDescent="0.2">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1" ht="2.5" customHeight="1"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1" x14ac:dyDescent="0.2">
      <c r="A28" s="131" t="s">
        <v>51</v>
      </c>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row>
    <row r="29" spans="1:31"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spans="1:31" ht="12" customHeight="1" x14ac:dyDescent="0.2">
      <c r="A30" s="177" t="s">
        <v>50</v>
      </c>
      <c r="B30" s="177"/>
      <c r="C30" s="177"/>
      <c r="D30" s="177"/>
      <c r="E30" s="177"/>
      <c r="F30" s="177"/>
      <c r="G30" s="177"/>
      <c r="H30" s="177"/>
      <c r="I30" s="177"/>
      <c r="J30" s="177"/>
      <c r="K30" s="82" t="s">
        <v>49</v>
      </c>
      <c r="L30" s="82"/>
      <c r="M30" s="82"/>
      <c r="N30" s="82"/>
      <c r="O30" s="82"/>
      <c r="P30" s="82"/>
      <c r="Q30" s="83" t="s">
        <v>48</v>
      </c>
      <c r="R30" s="84"/>
      <c r="S30" s="84"/>
      <c r="T30" s="84"/>
      <c r="U30" s="84"/>
      <c r="V30" s="84"/>
      <c r="W30" s="84"/>
      <c r="X30" s="84"/>
      <c r="Y30" s="85"/>
      <c r="Z30" s="23"/>
      <c r="AA30" s="84" t="s">
        <v>47</v>
      </c>
      <c r="AB30" s="84"/>
      <c r="AC30" s="84"/>
      <c r="AD30" s="85"/>
    </row>
    <row r="31" spans="1:31" ht="42.5" customHeight="1" x14ac:dyDescent="0.2">
      <c r="A31" s="88" t="s">
        <v>46</v>
      </c>
      <c r="B31" s="88"/>
      <c r="C31" s="89" t="s">
        <v>45</v>
      </c>
      <c r="D31" s="90"/>
      <c r="E31" s="90"/>
      <c r="F31" s="91"/>
      <c r="G31" s="92" t="s">
        <v>44</v>
      </c>
      <c r="H31" s="92"/>
      <c r="I31" s="92"/>
      <c r="J31" s="92"/>
      <c r="K31" s="92" t="s">
        <v>43</v>
      </c>
      <c r="L31" s="92"/>
      <c r="M31" s="93" t="s">
        <v>42</v>
      </c>
      <c r="N31" s="94"/>
      <c r="O31" s="94"/>
      <c r="P31" s="95"/>
      <c r="Q31" s="92" t="s">
        <v>43</v>
      </c>
      <c r="R31" s="92"/>
      <c r="S31" s="92"/>
      <c r="T31" s="92" t="s">
        <v>42</v>
      </c>
      <c r="U31" s="92"/>
      <c r="V31" s="92"/>
      <c r="W31" s="92"/>
      <c r="X31" s="92"/>
      <c r="Y31" s="92"/>
      <c r="Z31" s="24"/>
      <c r="AA31" s="86"/>
      <c r="AB31" s="86"/>
      <c r="AC31" s="86"/>
      <c r="AD31" s="87"/>
    </row>
    <row r="32" spans="1:31" ht="16.25" customHeight="1" x14ac:dyDescent="0.2">
      <c r="A32" s="184" t="s">
        <v>72</v>
      </c>
      <c r="B32" s="184"/>
      <c r="C32" s="184"/>
      <c r="D32" s="184"/>
      <c r="E32" s="184"/>
      <c r="F32" s="184"/>
      <c r="G32" s="184"/>
      <c r="H32" s="184"/>
      <c r="I32" s="184"/>
      <c r="J32" s="184"/>
      <c r="K32" s="184"/>
      <c r="L32" s="184"/>
      <c r="M32" s="184"/>
      <c r="N32" s="184"/>
      <c r="O32" s="184"/>
      <c r="P32" s="184"/>
      <c r="Q32" s="184"/>
      <c r="R32" s="184"/>
      <c r="S32" s="184"/>
      <c r="T32" s="184"/>
      <c r="U32" s="184"/>
      <c r="V32" s="184"/>
      <c r="W32" s="184"/>
      <c r="X32" s="184"/>
      <c r="Y32" s="184"/>
      <c r="Z32" s="47"/>
      <c r="AA32" s="185"/>
      <c r="AB32" s="185"/>
      <c r="AC32" s="185"/>
      <c r="AD32" s="185"/>
      <c r="AE32" s="6"/>
    </row>
    <row r="33" spans="1:47" ht="42.5" customHeight="1" x14ac:dyDescent="0.2">
      <c r="A33" s="80" t="s">
        <v>107</v>
      </c>
      <c r="B33" s="81"/>
      <c r="C33" s="52" t="s">
        <v>83</v>
      </c>
      <c r="D33" s="53"/>
      <c r="E33" s="53"/>
      <c r="F33" s="54"/>
      <c r="G33" s="52">
        <v>42300000</v>
      </c>
      <c r="H33" s="53"/>
      <c r="I33" s="53"/>
      <c r="J33" s="54"/>
      <c r="K33" s="96" t="s">
        <v>113</v>
      </c>
      <c r="L33" s="97"/>
      <c r="M33" s="96" t="s">
        <v>114</v>
      </c>
      <c r="N33" s="98"/>
      <c r="O33" s="98"/>
      <c r="P33" s="97"/>
      <c r="Q33" s="99">
        <v>41101024302</v>
      </c>
      <c r="R33" s="100"/>
      <c r="S33" s="101"/>
      <c r="T33" s="102" t="s">
        <v>111</v>
      </c>
      <c r="U33" s="103"/>
      <c r="V33" s="103"/>
      <c r="W33" s="103"/>
      <c r="X33" s="103"/>
      <c r="Y33" s="104"/>
      <c r="Z33" s="10"/>
      <c r="AA33" s="105">
        <f t="shared" ref="AA33" si="0">G33</f>
        <v>42300000</v>
      </c>
      <c r="AB33" s="106"/>
      <c r="AC33" s="106"/>
      <c r="AD33" s="107"/>
    </row>
    <row r="34" spans="1:47" ht="12" customHeight="1" x14ac:dyDescent="0.2">
      <c r="A34" s="162" t="s">
        <v>41</v>
      </c>
      <c r="B34" s="163"/>
      <c r="C34" s="163"/>
      <c r="D34" s="163"/>
      <c r="E34" s="163"/>
      <c r="F34" s="163"/>
      <c r="G34" s="163"/>
      <c r="H34" s="163"/>
      <c r="I34" s="163"/>
      <c r="J34" s="163"/>
      <c r="K34" s="163"/>
      <c r="L34" s="163"/>
      <c r="M34" s="163"/>
      <c r="N34" s="163"/>
      <c r="O34" s="163"/>
      <c r="P34" s="163"/>
      <c r="Q34" s="163"/>
      <c r="R34" s="163"/>
      <c r="S34" s="164"/>
      <c r="T34" s="162" t="s">
        <v>40</v>
      </c>
      <c r="U34" s="163"/>
      <c r="V34" s="163"/>
      <c r="W34" s="163"/>
      <c r="X34" s="163"/>
      <c r="Y34" s="163"/>
      <c r="Z34" s="163"/>
      <c r="AA34" s="163"/>
      <c r="AB34" s="163"/>
      <c r="AC34" s="163"/>
      <c r="AD34" s="164"/>
    </row>
    <row r="35" spans="1:47" ht="12" customHeight="1" x14ac:dyDescent="0.2">
      <c r="A35" s="165"/>
      <c r="B35" s="166"/>
      <c r="C35" s="166"/>
      <c r="D35" s="166"/>
      <c r="E35" s="166"/>
      <c r="F35" s="166"/>
      <c r="G35" s="166"/>
      <c r="H35" s="166"/>
      <c r="I35" s="166"/>
      <c r="J35" s="166"/>
      <c r="K35" s="166"/>
      <c r="L35" s="166"/>
      <c r="M35" s="166"/>
      <c r="N35" s="166"/>
      <c r="O35" s="166"/>
      <c r="P35" s="166"/>
      <c r="Q35" s="166"/>
      <c r="R35" s="166"/>
      <c r="S35" s="167"/>
      <c r="T35" s="165"/>
      <c r="U35" s="166"/>
      <c r="V35" s="166"/>
      <c r="W35" s="166"/>
      <c r="X35" s="166"/>
      <c r="Y35" s="166"/>
      <c r="Z35" s="166"/>
      <c r="AA35" s="166"/>
      <c r="AB35" s="166"/>
      <c r="AC35" s="166"/>
      <c r="AD35" s="167"/>
    </row>
    <row r="36" spans="1:47" ht="5.5" customHeight="1" x14ac:dyDescent="0.2">
      <c r="A36" s="181"/>
      <c r="B36" s="182"/>
      <c r="C36" s="182"/>
      <c r="D36" s="182"/>
      <c r="E36" s="182"/>
      <c r="F36" s="182"/>
      <c r="G36" s="182"/>
      <c r="H36" s="182"/>
      <c r="I36" s="182"/>
      <c r="J36" s="182"/>
      <c r="K36" s="182"/>
      <c r="L36" s="182"/>
      <c r="M36" s="182"/>
      <c r="N36" s="182"/>
      <c r="O36" s="182"/>
      <c r="P36" s="182"/>
      <c r="Q36" s="182"/>
      <c r="R36" s="182"/>
      <c r="S36" s="183"/>
      <c r="T36" s="181"/>
      <c r="U36" s="182"/>
      <c r="V36" s="182"/>
      <c r="W36" s="182"/>
      <c r="X36" s="182"/>
      <c r="Y36" s="182"/>
      <c r="Z36" s="182"/>
      <c r="AA36" s="182"/>
      <c r="AB36" s="182"/>
      <c r="AC36" s="182"/>
      <c r="AD36" s="183"/>
    </row>
    <row r="37" spans="1:47" ht="42" customHeight="1" x14ac:dyDescent="0.2">
      <c r="A37" s="186" t="s">
        <v>116</v>
      </c>
      <c r="B37" s="187"/>
      <c r="C37" s="187"/>
      <c r="D37" s="187"/>
      <c r="E37" s="187"/>
      <c r="F37" s="187"/>
      <c r="G37" s="187"/>
      <c r="H37" s="187"/>
      <c r="I37" s="187"/>
      <c r="J37" s="187"/>
      <c r="K37" s="187"/>
      <c r="L37" s="187"/>
      <c r="M37" s="187"/>
      <c r="N37" s="187"/>
      <c r="O37" s="187"/>
      <c r="P37" s="187"/>
      <c r="Q37" s="187"/>
      <c r="R37" s="187"/>
      <c r="S37" s="188"/>
      <c r="T37" s="178">
        <f>AA33</f>
        <v>42300000</v>
      </c>
      <c r="U37" s="179"/>
      <c r="V37" s="179"/>
      <c r="W37" s="179"/>
      <c r="X37" s="179"/>
      <c r="Y37" s="179"/>
      <c r="Z37" s="179"/>
      <c r="AA37" s="179"/>
      <c r="AB37" s="179"/>
      <c r="AC37" s="179"/>
      <c r="AD37" s="180"/>
      <c r="AE37" s="8"/>
      <c r="AK37" s="4"/>
      <c r="AL37" s="4"/>
      <c r="AM37" s="4"/>
      <c r="AN37" s="4"/>
      <c r="AO37" s="4"/>
      <c r="AP37" s="4"/>
      <c r="AQ37" s="4"/>
      <c r="AR37" s="4"/>
      <c r="AS37" s="4"/>
      <c r="AT37" s="4"/>
      <c r="AU37" s="4"/>
    </row>
    <row r="38" spans="1:47" ht="17.5" customHeight="1" x14ac:dyDescent="0.2">
      <c r="A38" s="57" t="s">
        <v>39</v>
      </c>
      <c r="B38" s="57"/>
      <c r="C38" s="57"/>
      <c r="D38" s="57"/>
      <c r="E38" s="57"/>
      <c r="F38" s="25" t="s">
        <v>38</v>
      </c>
      <c r="G38" s="26"/>
      <c r="H38" s="26"/>
      <c r="I38" s="26"/>
      <c r="J38" s="26"/>
      <c r="K38" s="26"/>
      <c r="L38" s="27" t="s">
        <v>37</v>
      </c>
      <c r="M38" s="26"/>
      <c r="N38" s="26"/>
      <c r="O38" s="26"/>
      <c r="P38" s="26"/>
      <c r="Q38" s="28" t="s">
        <v>36</v>
      </c>
      <c r="R38" s="26"/>
      <c r="S38" s="26"/>
      <c r="T38" s="26"/>
      <c r="U38" s="26"/>
      <c r="V38" s="26"/>
      <c r="W38" s="26"/>
      <c r="X38" s="26"/>
      <c r="Y38" s="26"/>
      <c r="Z38" s="26"/>
      <c r="AA38" s="26"/>
      <c r="AB38" s="26"/>
      <c r="AC38" s="26"/>
      <c r="AD38" s="29"/>
    </row>
    <row r="39" spans="1:47" ht="15" customHeight="1" x14ac:dyDescent="0.2">
      <c r="A39" s="57"/>
      <c r="B39" s="57"/>
      <c r="C39" s="57"/>
      <c r="D39" s="57"/>
      <c r="E39" s="57"/>
      <c r="F39" s="30"/>
      <c r="G39" s="10"/>
      <c r="H39" s="10"/>
      <c r="I39" s="10"/>
      <c r="J39" s="10"/>
      <c r="K39" s="10"/>
      <c r="L39" s="120"/>
      <c r="M39" s="121"/>
      <c r="N39" s="122"/>
      <c r="O39" s="10"/>
      <c r="P39" s="10"/>
      <c r="Q39" s="123" t="s">
        <v>73</v>
      </c>
      <c r="R39" s="123"/>
      <c r="S39" s="123"/>
      <c r="T39" s="123"/>
      <c r="U39" s="123"/>
      <c r="V39" s="123"/>
      <c r="W39" s="123"/>
      <c r="X39" s="123"/>
      <c r="Y39" s="123"/>
      <c r="Z39" s="123"/>
      <c r="AA39" s="123"/>
      <c r="AB39" s="123"/>
      <c r="AC39" s="123"/>
      <c r="AD39" s="31"/>
    </row>
    <row r="40" spans="1:47" ht="15" customHeight="1" x14ac:dyDescent="0.2">
      <c r="A40" s="57"/>
      <c r="B40" s="57"/>
      <c r="C40" s="57"/>
      <c r="D40" s="57"/>
      <c r="E40" s="57"/>
      <c r="F40" s="30"/>
      <c r="G40" s="198">
        <v>12962</v>
      </c>
      <c r="H40" s="124"/>
      <c r="I40" s="125"/>
      <c r="J40" s="10"/>
      <c r="K40" s="10"/>
      <c r="L40" s="27" t="s">
        <v>35</v>
      </c>
      <c r="M40" s="10"/>
      <c r="N40" s="10"/>
      <c r="O40" s="10"/>
      <c r="P40" s="10"/>
      <c r="Q40" s="123"/>
      <c r="R40" s="123"/>
      <c r="S40" s="123"/>
      <c r="T40" s="123"/>
      <c r="U40" s="123"/>
      <c r="V40" s="123"/>
      <c r="W40" s="123"/>
      <c r="X40" s="123"/>
      <c r="Y40" s="123"/>
      <c r="Z40" s="123"/>
      <c r="AA40" s="123"/>
      <c r="AB40" s="123"/>
      <c r="AC40" s="123"/>
      <c r="AD40" s="31"/>
    </row>
    <row r="41" spans="1:47" ht="15.75" customHeight="1" x14ac:dyDescent="0.2">
      <c r="A41" s="57"/>
      <c r="B41" s="57"/>
      <c r="C41" s="57"/>
      <c r="D41" s="57"/>
      <c r="E41" s="57"/>
      <c r="F41" s="30"/>
      <c r="G41" s="10"/>
      <c r="H41" s="10"/>
      <c r="I41" s="10"/>
      <c r="J41" s="10"/>
      <c r="K41" s="10"/>
      <c r="L41" s="120"/>
      <c r="M41" s="121"/>
      <c r="N41" s="122"/>
      <c r="O41" s="10"/>
      <c r="P41" s="10"/>
      <c r="Q41" s="123"/>
      <c r="R41" s="123"/>
      <c r="S41" s="123"/>
      <c r="T41" s="123"/>
      <c r="U41" s="123"/>
      <c r="V41" s="123"/>
      <c r="W41" s="123"/>
      <c r="X41" s="123"/>
      <c r="Y41" s="123"/>
      <c r="Z41" s="123"/>
      <c r="AA41" s="123"/>
      <c r="AB41" s="123"/>
      <c r="AC41" s="123"/>
      <c r="AD41" s="31"/>
    </row>
    <row r="42" spans="1:47" ht="12" customHeight="1" x14ac:dyDescent="0.2">
      <c r="A42" s="57"/>
      <c r="B42" s="57"/>
      <c r="C42" s="57"/>
      <c r="D42" s="57"/>
      <c r="E42" s="57"/>
      <c r="F42" s="30"/>
      <c r="G42" s="42" t="s">
        <v>34</v>
      </c>
      <c r="H42" s="10"/>
      <c r="I42" s="10"/>
      <c r="J42" s="10"/>
      <c r="K42" s="10"/>
      <c r="L42" s="10"/>
      <c r="M42" s="10"/>
      <c r="N42" s="10"/>
      <c r="O42" s="10"/>
      <c r="P42" s="10"/>
      <c r="Q42" s="10"/>
      <c r="R42" s="10"/>
      <c r="S42" s="10"/>
      <c r="T42" s="10"/>
      <c r="U42" s="10"/>
      <c r="V42" s="10"/>
      <c r="W42" s="10"/>
      <c r="X42" s="10"/>
      <c r="Y42" s="10"/>
      <c r="Z42" s="10"/>
      <c r="AA42" s="10"/>
      <c r="AB42" s="10"/>
      <c r="AC42" s="10"/>
      <c r="AD42" s="31"/>
    </row>
    <row r="43" spans="1:47" ht="20.5" customHeight="1" x14ac:dyDescent="0.2">
      <c r="A43" s="57"/>
      <c r="B43" s="57"/>
      <c r="C43" s="57"/>
      <c r="D43" s="57"/>
      <c r="E43" s="57"/>
      <c r="F43" s="43"/>
      <c r="G43" s="126" t="s">
        <v>108</v>
      </c>
      <c r="H43" s="126"/>
      <c r="I43" s="126"/>
      <c r="J43" s="126"/>
      <c r="K43" s="126"/>
      <c r="L43" s="126"/>
      <c r="M43" s="126"/>
      <c r="N43" s="126"/>
      <c r="O43" s="126"/>
      <c r="P43" s="126"/>
      <c r="Q43" s="126"/>
      <c r="R43" s="126"/>
      <c r="S43" s="126"/>
      <c r="T43" s="126"/>
      <c r="U43" s="126"/>
      <c r="V43" s="126"/>
      <c r="W43" s="126"/>
      <c r="X43" s="126"/>
      <c r="Y43" s="126"/>
      <c r="Z43" s="126"/>
      <c r="AA43" s="126"/>
      <c r="AB43" s="126"/>
      <c r="AC43" s="126"/>
      <c r="AD43" s="44"/>
    </row>
    <row r="44" spans="1:47" ht="8.5" customHeight="1" x14ac:dyDescent="0.2">
      <c r="A44" s="32"/>
      <c r="B44" s="32"/>
      <c r="C44" s="32"/>
      <c r="D44" s="32"/>
      <c r="E44" s="32"/>
      <c r="F44" s="10"/>
      <c r="G44" s="33"/>
      <c r="H44" s="33"/>
      <c r="I44" s="33"/>
      <c r="J44" s="33"/>
      <c r="K44" s="33"/>
      <c r="L44" s="33"/>
      <c r="M44" s="33"/>
      <c r="N44" s="33"/>
      <c r="O44" s="33"/>
      <c r="P44" s="33"/>
      <c r="Q44" s="33"/>
      <c r="R44" s="33"/>
      <c r="S44" s="33"/>
      <c r="T44" s="33"/>
      <c r="U44" s="33"/>
      <c r="V44" s="33"/>
      <c r="W44" s="33"/>
      <c r="X44" s="33"/>
      <c r="Y44" s="33"/>
      <c r="Z44" s="33"/>
      <c r="AA44" s="33"/>
      <c r="AB44" s="33"/>
      <c r="AC44" s="33"/>
      <c r="AD44" s="10"/>
    </row>
    <row r="45" spans="1:47" ht="15.5" customHeight="1" x14ac:dyDescent="0.2">
      <c r="A45" s="127" t="s">
        <v>33</v>
      </c>
      <c r="B45" s="127"/>
      <c r="C45" s="127"/>
      <c r="D45" s="127"/>
      <c r="E45" s="127"/>
      <c r="F45" s="127"/>
      <c r="G45" s="127"/>
      <c r="H45" s="127"/>
      <c r="I45" s="127"/>
      <c r="J45" s="127"/>
      <c r="K45" s="127"/>
      <c r="L45" s="127"/>
      <c r="M45" s="127"/>
      <c r="N45" s="127"/>
      <c r="O45" s="127"/>
      <c r="P45" s="127"/>
      <c r="Q45" s="127"/>
      <c r="R45" s="127"/>
      <c r="S45" s="127"/>
      <c r="T45" s="127"/>
      <c r="U45" s="127"/>
      <c r="V45" s="33"/>
      <c r="W45" s="33"/>
      <c r="X45" s="33"/>
      <c r="Y45" s="33"/>
      <c r="Z45" s="33"/>
      <c r="AA45" s="33"/>
      <c r="AB45" s="33"/>
      <c r="AC45" s="33"/>
      <c r="AD45" s="10"/>
    </row>
    <row r="46" spans="1:47" x14ac:dyDescent="0.2">
      <c r="A46" s="108" t="s">
        <v>32</v>
      </c>
      <c r="B46" s="108"/>
      <c r="C46" s="108"/>
      <c r="D46" s="108"/>
      <c r="E46" s="108"/>
      <c r="F46" s="108"/>
      <c r="G46" s="108"/>
      <c r="H46" s="108"/>
      <c r="I46" s="108"/>
      <c r="J46" s="108"/>
      <c r="K46" s="108"/>
      <c r="L46" s="108"/>
      <c r="M46" s="33"/>
      <c r="N46" s="33"/>
      <c r="O46" s="33"/>
      <c r="P46" s="33"/>
      <c r="Q46" s="33"/>
      <c r="R46" s="33"/>
      <c r="S46" s="33"/>
      <c r="T46" s="33"/>
      <c r="U46" s="33"/>
      <c r="V46" s="33"/>
      <c r="W46" s="33"/>
      <c r="X46" s="33"/>
      <c r="Y46" s="48"/>
      <c r="Z46" s="33"/>
      <c r="AA46" s="33"/>
      <c r="AB46" s="33"/>
      <c r="AC46" s="33"/>
      <c r="AD46" s="10"/>
    </row>
    <row r="47" spans="1:47" ht="17" thickBot="1" x14ac:dyDescent="0.25">
      <c r="A47" s="32"/>
      <c r="B47" s="32"/>
      <c r="C47" s="32"/>
      <c r="D47" s="32"/>
      <c r="E47" s="32"/>
      <c r="F47" s="10"/>
      <c r="G47" s="33"/>
      <c r="H47" s="33"/>
      <c r="I47" s="33"/>
      <c r="J47" s="33"/>
      <c r="K47" s="33"/>
      <c r="L47" s="33"/>
      <c r="M47" s="33"/>
      <c r="N47" s="33"/>
      <c r="O47" s="33"/>
      <c r="P47" s="33"/>
      <c r="Q47" s="33"/>
      <c r="R47" s="33"/>
      <c r="S47" s="33"/>
      <c r="T47" s="33"/>
      <c r="U47" s="33"/>
      <c r="V47" s="33"/>
      <c r="W47" s="33"/>
      <c r="X47" s="33"/>
      <c r="Y47" s="33"/>
      <c r="Z47" s="33"/>
      <c r="AA47" s="33"/>
      <c r="AB47" s="33"/>
      <c r="AC47" s="33"/>
      <c r="AD47" s="10"/>
    </row>
    <row r="48" spans="1:47" ht="17" thickBot="1" x14ac:dyDescent="0.25">
      <c r="A48" s="109" t="s">
        <v>31</v>
      </c>
      <c r="B48" s="110"/>
      <c r="C48" s="111"/>
      <c r="D48" s="34"/>
      <c r="E48" s="109" t="s">
        <v>30</v>
      </c>
      <c r="F48" s="110"/>
      <c r="G48" s="110"/>
      <c r="H48" s="111"/>
      <c r="I48" s="35"/>
      <c r="J48" s="112" t="s">
        <v>29</v>
      </c>
      <c r="K48" s="113"/>
      <c r="L48" s="113"/>
      <c r="M48" s="113"/>
      <c r="N48" s="113"/>
      <c r="O48" s="113"/>
      <c r="P48" s="114"/>
      <c r="Q48" s="115"/>
      <c r="R48" s="116"/>
      <c r="S48" s="117" t="s">
        <v>28</v>
      </c>
      <c r="T48" s="118"/>
      <c r="U48" s="118"/>
      <c r="V48" s="118"/>
      <c r="W48" s="118"/>
      <c r="X48" s="119"/>
      <c r="Y48" s="35" t="s">
        <v>27</v>
      </c>
      <c r="Z48" s="33"/>
      <c r="AA48" s="33"/>
      <c r="AB48" s="33"/>
      <c r="AC48" s="33"/>
      <c r="AD48" s="10"/>
    </row>
    <row r="49" spans="1:32" x14ac:dyDescent="0.2">
      <c r="A49" s="36"/>
      <c r="B49" s="36"/>
      <c r="C49" s="36"/>
      <c r="D49" s="37"/>
      <c r="E49" s="36"/>
      <c r="F49" s="36"/>
      <c r="G49" s="36"/>
      <c r="H49" s="36"/>
      <c r="I49" s="33"/>
      <c r="J49" s="33"/>
      <c r="K49" s="33"/>
      <c r="L49" s="33"/>
      <c r="M49" s="33"/>
      <c r="N49" s="33"/>
      <c r="O49" s="33"/>
      <c r="P49" s="33"/>
      <c r="Q49" s="33"/>
      <c r="R49" s="33"/>
      <c r="S49" s="33"/>
      <c r="T49" s="33"/>
      <c r="U49" s="33"/>
      <c r="V49" s="33"/>
      <c r="W49" s="33"/>
      <c r="X49" s="33"/>
      <c r="Y49" s="33"/>
      <c r="Z49" s="33"/>
      <c r="AA49" s="33"/>
      <c r="AB49" s="33"/>
      <c r="AC49" s="33"/>
      <c r="AD49" s="10"/>
    </row>
    <row r="50" spans="1:32" ht="10.5" customHeight="1" x14ac:dyDescent="0.2">
      <c r="A50" s="130" t="s">
        <v>26</v>
      </c>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row>
    <row r="51" spans="1:32" ht="6" customHeight="1"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spans="1:32" ht="17" customHeight="1" x14ac:dyDescent="0.2">
      <c r="A52" s="131" t="s">
        <v>25</v>
      </c>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row>
    <row r="53" spans="1:32" ht="17" customHeight="1" x14ac:dyDescent="0.2">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spans="1:32" ht="21" customHeight="1" x14ac:dyDescent="0.2">
      <c r="A54" s="132" t="s">
        <v>24</v>
      </c>
      <c r="B54" s="132"/>
      <c r="C54" s="132"/>
      <c r="D54" s="132"/>
      <c r="E54" s="133" t="s">
        <v>23</v>
      </c>
      <c r="F54" s="133"/>
      <c r="G54" s="133" t="s">
        <v>22</v>
      </c>
      <c r="H54" s="133"/>
      <c r="I54" s="133" t="s">
        <v>21</v>
      </c>
      <c r="J54" s="133"/>
      <c r="K54" s="133" t="s">
        <v>20</v>
      </c>
      <c r="L54" s="133"/>
      <c r="M54" s="10"/>
      <c r="N54" s="133" t="s">
        <v>19</v>
      </c>
      <c r="O54" s="133"/>
      <c r="P54" s="133" t="s">
        <v>18</v>
      </c>
      <c r="Q54" s="133"/>
      <c r="R54" s="133" t="s">
        <v>17</v>
      </c>
      <c r="S54" s="133"/>
      <c r="T54" s="133" t="s">
        <v>16</v>
      </c>
      <c r="U54" s="133"/>
      <c r="V54" s="96" t="s">
        <v>15</v>
      </c>
      <c r="W54" s="98"/>
      <c r="X54" s="97"/>
      <c r="Y54" s="46" t="s">
        <v>14</v>
      </c>
      <c r="Z54" s="133" t="s">
        <v>13</v>
      </c>
      <c r="AA54" s="133"/>
      <c r="AB54" s="10"/>
      <c r="AC54" s="10"/>
      <c r="AD54" s="10"/>
      <c r="AE54"/>
      <c r="AF54" s="2"/>
    </row>
    <row r="55" spans="1:32" ht="15.75" customHeight="1" x14ac:dyDescent="0.2">
      <c r="A55" s="123" t="s">
        <v>85</v>
      </c>
      <c r="B55" s="123"/>
      <c r="C55" s="123"/>
      <c r="D55" s="123"/>
      <c r="E55" s="128"/>
      <c r="F55" s="129"/>
      <c r="G55" s="128"/>
      <c r="H55" s="129"/>
      <c r="I55" s="129"/>
      <c r="J55" s="129"/>
      <c r="K55" s="128">
        <v>0</v>
      </c>
      <c r="L55" s="129"/>
      <c r="M55" s="38">
        <v>5</v>
      </c>
      <c r="N55" s="129"/>
      <c r="O55" s="129"/>
      <c r="P55" s="129"/>
      <c r="Q55" s="129"/>
      <c r="R55" s="129"/>
      <c r="S55" s="129"/>
      <c r="T55" s="129"/>
      <c r="U55" s="129"/>
      <c r="V55" s="134"/>
      <c r="W55" s="135"/>
      <c r="X55" s="136"/>
      <c r="Y55" s="39"/>
      <c r="Z55" s="129">
        <f t="shared" ref="Z55:Z59" si="1">+SUM(N55:Y55)</f>
        <v>0</v>
      </c>
      <c r="AA55" s="129"/>
      <c r="AB55" s="10"/>
      <c r="AC55" s="10"/>
      <c r="AD55" s="10"/>
      <c r="AE55" s="3"/>
      <c r="AF55" s="2"/>
    </row>
    <row r="56" spans="1:32" ht="15.75" customHeight="1" x14ac:dyDescent="0.2">
      <c r="A56" s="123" t="s">
        <v>86</v>
      </c>
      <c r="B56" s="123"/>
      <c r="C56" s="123"/>
      <c r="D56" s="123"/>
      <c r="E56" s="129"/>
      <c r="F56" s="129"/>
      <c r="G56" s="129"/>
      <c r="H56" s="129"/>
      <c r="I56" s="129"/>
      <c r="J56" s="129"/>
      <c r="K56" s="128">
        <v>0</v>
      </c>
      <c r="L56" s="129"/>
      <c r="M56" s="38">
        <v>12</v>
      </c>
      <c r="N56" s="129"/>
      <c r="O56" s="129"/>
      <c r="P56" s="129"/>
      <c r="Q56" s="129"/>
      <c r="R56" s="129"/>
      <c r="S56" s="129"/>
      <c r="T56" s="129"/>
      <c r="U56" s="129"/>
      <c r="V56" s="134"/>
      <c r="W56" s="135"/>
      <c r="X56" s="136"/>
      <c r="Y56" s="39"/>
      <c r="Z56" s="129">
        <f t="shared" si="1"/>
        <v>0</v>
      </c>
      <c r="AA56" s="129"/>
      <c r="AB56" s="10"/>
      <c r="AC56" s="10"/>
      <c r="AD56" s="10"/>
      <c r="AE56"/>
      <c r="AF56" s="2"/>
    </row>
    <row r="57" spans="1:32" ht="15.75" customHeight="1" x14ac:dyDescent="0.2">
      <c r="A57" s="123" t="s">
        <v>87</v>
      </c>
      <c r="B57" s="123"/>
      <c r="C57" s="123"/>
      <c r="D57" s="123"/>
      <c r="E57" s="128"/>
      <c r="F57" s="129"/>
      <c r="G57" s="128"/>
      <c r="H57" s="129"/>
      <c r="I57" s="129"/>
      <c r="J57" s="129"/>
      <c r="K57" s="128">
        <v>0</v>
      </c>
      <c r="L57" s="129"/>
      <c r="M57" s="38">
        <v>17</v>
      </c>
      <c r="N57" s="129"/>
      <c r="O57" s="129"/>
      <c r="P57" s="129"/>
      <c r="Q57" s="129"/>
      <c r="R57" s="129"/>
      <c r="S57" s="129"/>
      <c r="T57" s="129"/>
      <c r="U57" s="129"/>
      <c r="V57" s="134"/>
      <c r="W57" s="135"/>
      <c r="X57" s="136"/>
      <c r="Y57" s="39"/>
      <c r="Z57" s="129">
        <f t="shared" si="1"/>
        <v>0</v>
      </c>
      <c r="AA57" s="129"/>
      <c r="AB57" s="10"/>
      <c r="AC57" s="10"/>
      <c r="AD57" s="10"/>
      <c r="AE57"/>
      <c r="AF57" s="2"/>
    </row>
    <row r="58" spans="1:32" ht="15.75" customHeight="1" x14ac:dyDescent="0.2">
      <c r="A58" s="123" t="s">
        <v>88</v>
      </c>
      <c r="B58" s="123"/>
      <c r="C58" s="123"/>
      <c r="D58" s="123"/>
      <c r="E58" s="129"/>
      <c r="F58" s="129"/>
      <c r="G58" s="129"/>
      <c r="H58" s="129"/>
      <c r="I58" s="129"/>
      <c r="J58" s="129"/>
      <c r="K58" s="128">
        <v>0</v>
      </c>
      <c r="L58" s="129"/>
      <c r="M58" s="38">
        <v>21</v>
      </c>
      <c r="N58" s="129"/>
      <c r="O58" s="129"/>
      <c r="P58" s="129"/>
      <c r="Q58" s="129"/>
      <c r="R58" s="129"/>
      <c r="S58" s="129"/>
      <c r="T58" s="129"/>
      <c r="U58" s="129"/>
      <c r="V58" s="134"/>
      <c r="W58" s="135"/>
      <c r="X58" s="136"/>
      <c r="Y58" s="39"/>
      <c r="Z58" s="129">
        <f t="shared" si="1"/>
        <v>0</v>
      </c>
      <c r="AA58" s="129"/>
      <c r="AB58" s="10"/>
      <c r="AC58" s="10"/>
      <c r="AD58" s="10"/>
      <c r="AE58"/>
      <c r="AF58" s="2"/>
    </row>
    <row r="59" spans="1:32" ht="15.75" customHeight="1" x14ac:dyDescent="0.2">
      <c r="A59" s="137" t="s">
        <v>12</v>
      </c>
      <c r="B59" s="137"/>
      <c r="C59" s="137"/>
      <c r="D59" s="137"/>
      <c r="E59" s="128">
        <f>SUM(E55:F58)</f>
        <v>0</v>
      </c>
      <c r="F59" s="129"/>
      <c r="G59" s="128">
        <f>SUM(G55:H58)</f>
        <v>0</v>
      </c>
      <c r="H59" s="129"/>
      <c r="I59" s="129"/>
      <c r="J59" s="129"/>
      <c r="K59" s="138">
        <f>SUM(K55:L58)</f>
        <v>0</v>
      </c>
      <c r="L59" s="138"/>
      <c r="M59" s="38">
        <v>25</v>
      </c>
      <c r="N59" s="129">
        <v>0</v>
      </c>
      <c r="O59" s="129"/>
      <c r="P59" s="129">
        <v>0</v>
      </c>
      <c r="Q59" s="129"/>
      <c r="R59" s="129">
        <v>0</v>
      </c>
      <c r="S59" s="129"/>
      <c r="T59" s="129">
        <v>0</v>
      </c>
      <c r="U59" s="129"/>
      <c r="V59" s="134">
        <v>0</v>
      </c>
      <c r="W59" s="135"/>
      <c r="X59" s="136"/>
      <c r="Y59" s="39"/>
      <c r="Z59" s="129">
        <f t="shared" si="1"/>
        <v>0</v>
      </c>
      <c r="AA59" s="129"/>
      <c r="AB59" s="10"/>
      <c r="AC59" s="10"/>
      <c r="AD59" s="40"/>
      <c r="AE59" s="3"/>
      <c r="AF59" s="2"/>
    </row>
    <row r="60" spans="1:32" ht="12.5" customHeight="1" x14ac:dyDescent="0.2">
      <c r="A60" s="10"/>
      <c r="B60" s="10"/>
      <c r="C60" s="10"/>
      <c r="D60" s="10"/>
      <c r="E60" s="55"/>
      <c r="F60" s="55"/>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spans="1:32" ht="0.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spans="1:32" x14ac:dyDescent="0.2">
      <c r="A62" s="158" t="s">
        <v>11</v>
      </c>
      <c r="B62" s="158"/>
      <c r="C62" s="158"/>
      <c r="D62" s="158"/>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row>
    <row r="63" spans="1:32" ht="7.2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2" ht="21" customHeight="1" x14ac:dyDescent="0.2">
      <c r="A64" s="131" t="s">
        <v>10</v>
      </c>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row>
    <row r="65" spans="1:30" ht="8.5" customHeight="1"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spans="1:30" ht="18.75" customHeight="1" x14ac:dyDescent="0.2">
      <c r="A66" s="150" t="s">
        <v>84</v>
      </c>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2"/>
    </row>
    <row r="67" spans="1:30" ht="6.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spans="1:30" ht="17" customHeight="1" x14ac:dyDescent="0.2">
      <c r="A68" s="131" t="s">
        <v>9</v>
      </c>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row>
    <row r="69" spans="1:30" ht="7.5" customHeight="1"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spans="1:30" ht="142" customHeight="1" x14ac:dyDescent="0.2">
      <c r="A70" s="159" t="s">
        <v>109</v>
      </c>
      <c r="B70" s="160"/>
      <c r="C70" s="160"/>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c r="AC70" s="160"/>
      <c r="AD70" s="161"/>
    </row>
    <row r="71" spans="1:30" ht="4.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spans="1:30" x14ac:dyDescent="0.2">
      <c r="A72" s="131" t="s">
        <v>8</v>
      </c>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row>
    <row r="73" spans="1:30" ht="3" customHeight="1"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spans="1:30" ht="46" customHeight="1" x14ac:dyDescent="0.2">
      <c r="A74" s="150" t="s">
        <v>74</v>
      </c>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2"/>
    </row>
    <row r="75" spans="1:30" ht="5.7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9.5" customHeight="1" x14ac:dyDescent="0.2">
      <c r="A76" s="131" t="s">
        <v>7</v>
      </c>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c r="AA76" s="131"/>
      <c r="AB76" s="131"/>
      <c r="AC76" s="131"/>
      <c r="AD76" s="131"/>
    </row>
    <row r="77" spans="1:30" ht="6" customHeight="1"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spans="1:30" ht="36.75" customHeight="1" x14ac:dyDescent="0.2">
      <c r="A78" s="153"/>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5"/>
    </row>
    <row r="79" spans="1:30" ht="9.7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spans="1:30" ht="13.5" customHeight="1" x14ac:dyDescent="0.2">
      <c r="A80" s="10" t="s">
        <v>6</v>
      </c>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spans="1:30" ht="10.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spans="1:30" ht="15.75" customHeight="1" x14ac:dyDescent="0.2">
      <c r="A82" s="11" t="s">
        <v>5</v>
      </c>
      <c r="B82" s="12"/>
      <c r="C82" s="12"/>
      <c r="D82" s="12"/>
      <c r="E82" s="12"/>
      <c r="F82" s="10"/>
      <c r="G82" s="10"/>
      <c r="H82" s="10"/>
      <c r="I82" s="10"/>
      <c r="J82" s="10"/>
      <c r="K82" s="10"/>
      <c r="L82" s="10"/>
      <c r="M82" s="10"/>
      <c r="N82" s="10"/>
      <c r="O82" s="10"/>
      <c r="P82" s="10"/>
      <c r="Q82" s="11" t="s">
        <v>4</v>
      </c>
      <c r="R82" s="10"/>
      <c r="S82" s="10"/>
      <c r="T82" s="10"/>
      <c r="U82" s="10"/>
      <c r="V82" s="10"/>
      <c r="W82" s="10"/>
      <c r="X82" s="10"/>
      <c r="Y82" s="10"/>
      <c r="Z82" s="10"/>
      <c r="AA82" s="10"/>
      <c r="AB82" s="10"/>
      <c r="AC82" s="10"/>
      <c r="AD82" s="10"/>
    </row>
    <row r="83" spans="1:30" ht="22.5" customHeight="1" x14ac:dyDescent="0.2">
      <c r="A83" s="139" t="s">
        <v>3</v>
      </c>
      <c r="B83" s="139"/>
      <c r="C83" s="139"/>
      <c r="D83" s="156" t="s">
        <v>75</v>
      </c>
      <c r="E83" s="141"/>
      <c r="F83" s="141"/>
      <c r="G83" s="141"/>
      <c r="H83" s="141"/>
      <c r="I83" s="141"/>
      <c r="J83" s="141"/>
      <c r="K83" s="141"/>
      <c r="L83" s="141"/>
      <c r="M83" s="142"/>
      <c r="N83" s="13"/>
      <c r="O83" s="13"/>
      <c r="P83" s="13"/>
      <c r="Q83" s="157" t="s">
        <v>3</v>
      </c>
      <c r="R83" s="157"/>
      <c r="S83" s="157"/>
      <c r="T83" s="156" t="s">
        <v>79</v>
      </c>
      <c r="U83" s="141"/>
      <c r="V83" s="141"/>
      <c r="W83" s="141"/>
      <c r="X83" s="141"/>
      <c r="Y83" s="141"/>
      <c r="Z83" s="141"/>
      <c r="AA83" s="141"/>
      <c r="AB83" s="141"/>
      <c r="AC83" s="141"/>
      <c r="AD83" s="142"/>
    </row>
    <row r="84" spans="1:30" ht="15" customHeight="1" x14ac:dyDescent="0.2">
      <c r="A84" s="139" t="s">
        <v>2</v>
      </c>
      <c r="B84" s="139"/>
      <c r="C84" s="139"/>
      <c r="D84" s="144" t="s">
        <v>76</v>
      </c>
      <c r="E84" s="141"/>
      <c r="F84" s="141"/>
      <c r="G84" s="141"/>
      <c r="H84" s="141"/>
      <c r="I84" s="141"/>
      <c r="J84" s="141"/>
      <c r="K84" s="141"/>
      <c r="L84" s="141"/>
      <c r="M84" s="142"/>
      <c r="N84" s="10"/>
      <c r="O84" s="10"/>
      <c r="P84" s="10"/>
      <c r="Q84" s="139" t="s">
        <v>2</v>
      </c>
      <c r="R84" s="139"/>
      <c r="S84" s="139"/>
      <c r="T84" s="145" t="s">
        <v>80</v>
      </c>
      <c r="U84" s="146"/>
      <c r="V84" s="146"/>
      <c r="W84" s="146"/>
      <c r="X84" s="146"/>
      <c r="Y84" s="146"/>
      <c r="Z84" s="146"/>
      <c r="AA84" s="146"/>
      <c r="AB84" s="146"/>
      <c r="AC84" s="146"/>
      <c r="AD84" s="147"/>
    </row>
    <row r="85" spans="1:30" ht="15" customHeight="1" x14ac:dyDescent="0.2">
      <c r="A85" s="139" t="s">
        <v>1</v>
      </c>
      <c r="B85" s="139"/>
      <c r="C85" s="139"/>
      <c r="D85" s="148" t="s">
        <v>77</v>
      </c>
      <c r="E85" s="141"/>
      <c r="F85" s="141"/>
      <c r="G85" s="141"/>
      <c r="H85" s="141"/>
      <c r="I85" s="141"/>
      <c r="J85" s="141"/>
      <c r="K85" s="141"/>
      <c r="L85" s="141"/>
      <c r="M85" s="142"/>
      <c r="N85" s="10"/>
      <c r="O85" s="10"/>
      <c r="P85" s="10"/>
      <c r="Q85" s="139" t="s">
        <v>1</v>
      </c>
      <c r="R85" s="139"/>
      <c r="S85" s="139"/>
      <c r="T85" s="149" t="s">
        <v>81</v>
      </c>
      <c r="U85" s="141"/>
      <c r="V85" s="141"/>
      <c r="W85" s="141"/>
      <c r="X85" s="141"/>
      <c r="Y85" s="141"/>
      <c r="Z85" s="141"/>
      <c r="AA85" s="141"/>
      <c r="AB85" s="141"/>
      <c r="AC85" s="141"/>
      <c r="AD85" s="142"/>
    </row>
    <row r="86" spans="1:30" ht="15" customHeight="1" x14ac:dyDescent="0.2">
      <c r="A86" s="139" t="s">
        <v>0</v>
      </c>
      <c r="B86" s="139"/>
      <c r="C86" s="139"/>
      <c r="D86" s="140" t="s">
        <v>78</v>
      </c>
      <c r="E86" s="141"/>
      <c r="F86" s="141"/>
      <c r="G86" s="141"/>
      <c r="H86" s="141"/>
      <c r="I86" s="141"/>
      <c r="J86" s="141"/>
      <c r="K86" s="141"/>
      <c r="L86" s="141"/>
      <c r="M86" s="142"/>
      <c r="N86" s="10"/>
      <c r="O86" s="10"/>
      <c r="P86" s="10"/>
      <c r="Q86" s="143" t="s">
        <v>0</v>
      </c>
      <c r="R86" s="143"/>
      <c r="S86" s="143"/>
      <c r="T86" s="144" t="s">
        <v>82</v>
      </c>
      <c r="U86" s="141"/>
      <c r="V86" s="141"/>
      <c r="W86" s="141"/>
      <c r="X86" s="141"/>
      <c r="Y86" s="141"/>
      <c r="Z86" s="141"/>
      <c r="AA86" s="141"/>
      <c r="AB86" s="141"/>
      <c r="AC86" s="141"/>
      <c r="AD86" s="142"/>
    </row>
  </sheetData>
  <mergeCells count="152">
    <mergeCell ref="A28:AD28"/>
    <mergeCell ref="A30:J30"/>
    <mergeCell ref="A4:G4"/>
    <mergeCell ref="A25:F25"/>
    <mergeCell ref="G25:X25"/>
    <mergeCell ref="Y25:AD25"/>
    <mergeCell ref="A18:AD18"/>
    <mergeCell ref="A20:F21"/>
    <mergeCell ref="G20:X20"/>
    <mergeCell ref="Y20:AD20"/>
    <mergeCell ref="G21:X21"/>
    <mergeCell ref="Y21:AD21"/>
    <mergeCell ref="K30:P30"/>
    <mergeCell ref="Q30:Y30"/>
    <mergeCell ref="AA30:AD31"/>
    <mergeCell ref="A31:B31"/>
    <mergeCell ref="C31:F31"/>
    <mergeCell ref="G31:J31"/>
    <mergeCell ref="K31:L31"/>
    <mergeCell ref="M31:P31"/>
    <mergeCell ref="A1:C2"/>
    <mergeCell ref="D1:V2"/>
    <mergeCell ref="W1:Z1"/>
    <mergeCell ref="AA1:AD1"/>
    <mergeCell ref="W2:Z2"/>
    <mergeCell ref="AA2:AD2"/>
    <mergeCell ref="G22:X22"/>
    <mergeCell ref="A24:F24"/>
    <mergeCell ref="Y24:AD24"/>
    <mergeCell ref="T33:Y33"/>
    <mergeCell ref="AA33:AD33"/>
    <mergeCell ref="A32:Y32"/>
    <mergeCell ref="AA32:AD32"/>
    <mergeCell ref="Q31:S31"/>
    <mergeCell ref="T31:Y31"/>
    <mergeCell ref="A34:S36"/>
    <mergeCell ref="T34:AD36"/>
    <mergeCell ref="A33:B33"/>
    <mergeCell ref="C33:F33"/>
    <mergeCell ref="G33:J33"/>
    <mergeCell ref="K33:L33"/>
    <mergeCell ref="M33:P33"/>
    <mergeCell ref="Q33:S33"/>
    <mergeCell ref="A45:U45"/>
    <mergeCell ref="A46:L46"/>
    <mergeCell ref="A48:C48"/>
    <mergeCell ref="E48:H48"/>
    <mergeCell ref="J48:P48"/>
    <mergeCell ref="Q48:R48"/>
    <mergeCell ref="S48:X48"/>
    <mergeCell ref="A37:S37"/>
    <mergeCell ref="T37:AD37"/>
    <mergeCell ref="A38:E43"/>
    <mergeCell ref="L39:N39"/>
    <mergeCell ref="Q39:AC41"/>
    <mergeCell ref="G40:I40"/>
    <mergeCell ref="L41:N41"/>
    <mergeCell ref="G43:AC43"/>
    <mergeCell ref="A57:D57"/>
    <mergeCell ref="E57:F57"/>
    <mergeCell ref="G57:H57"/>
    <mergeCell ref="I57:J57"/>
    <mergeCell ref="K57:L57"/>
    <mergeCell ref="N57:O57"/>
    <mergeCell ref="P57:Q57"/>
    <mergeCell ref="A50:AD50"/>
    <mergeCell ref="A52:AD52"/>
    <mergeCell ref="A54:D54"/>
    <mergeCell ref="E54:F54"/>
    <mergeCell ref="G54:H54"/>
    <mergeCell ref="I54:J54"/>
    <mergeCell ref="K54:L54"/>
    <mergeCell ref="N54:O54"/>
    <mergeCell ref="P54:Q54"/>
    <mergeCell ref="R54:S54"/>
    <mergeCell ref="T54:U54"/>
    <mergeCell ref="V54:X54"/>
    <mergeCell ref="Z54:AA54"/>
    <mergeCell ref="R55:S55"/>
    <mergeCell ref="T55:U55"/>
    <mergeCell ref="V55:X55"/>
    <mergeCell ref="Z55:AA55"/>
    <mergeCell ref="A56:D56"/>
    <mergeCell ref="E56:F56"/>
    <mergeCell ref="G56:H56"/>
    <mergeCell ref="I56:J56"/>
    <mergeCell ref="K56:L56"/>
    <mergeCell ref="N56:O56"/>
    <mergeCell ref="A55:D55"/>
    <mergeCell ref="E55:F55"/>
    <mergeCell ref="G55:H55"/>
    <mergeCell ref="I55:J55"/>
    <mergeCell ref="K55:L55"/>
    <mergeCell ref="N55:O55"/>
    <mergeCell ref="P55:Q55"/>
    <mergeCell ref="R57:S57"/>
    <mergeCell ref="T57:U57"/>
    <mergeCell ref="V57:X57"/>
    <mergeCell ref="Z57:AA57"/>
    <mergeCell ref="P56:Q56"/>
    <mergeCell ref="R56:S56"/>
    <mergeCell ref="T56:U56"/>
    <mergeCell ref="V56:X56"/>
    <mergeCell ref="Z56:AA56"/>
    <mergeCell ref="A59:D59"/>
    <mergeCell ref="E59:F59"/>
    <mergeCell ref="G59:H59"/>
    <mergeCell ref="I59:J59"/>
    <mergeCell ref="K59:L59"/>
    <mergeCell ref="A58:D58"/>
    <mergeCell ref="E58:F58"/>
    <mergeCell ref="G58:H58"/>
    <mergeCell ref="I58:J58"/>
    <mergeCell ref="K58:L58"/>
    <mergeCell ref="N59:O59"/>
    <mergeCell ref="P59:Q59"/>
    <mergeCell ref="R59:S59"/>
    <mergeCell ref="T59:U59"/>
    <mergeCell ref="V59:X59"/>
    <mergeCell ref="Z59:AA59"/>
    <mergeCell ref="P58:Q58"/>
    <mergeCell ref="R58:S58"/>
    <mergeCell ref="T58:U58"/>
    <mergeCell ref="V58:X58"/>
    <mergeCell ref="Z58:AA58"/>
    <mergeCell ref="N58:O58"/>
    <mergeCell ref="A72:AD72"/>
    <mergeCell ref="A74:AD74"/>
    <mergeCell ref="A76:AD76"/>
    <mergeCell ref="A78:AD78"/>
    <mergeCell ref="A83:C83"/>
    <mergeCell ref="D83:M83"/>
    <mergeCell ref="Q83:S83"/>
    <mergeCell ref="T83:AD83"/>
    <mergeCell ref="E60:F60"/>
    <mergeCell ref="A62:AD62"/>
    <mergeCell ref="A64:AD64"/>
    <mergeCell ref="A66:AD66"/>
    <mergeCell ref="A68:AD68"/>
    <mergeCell ref="A70:AD70"/>
    <mergeCell ref="A86:C86"/>
    <mergeCell ref="D86:M86"/>
    <mergeCell ref="Q86:S86"/>
    <mergeCell ref="T86:AD86"/>
    <mergeCell ref="A84:C84"/>
    <mergeCell ref="D84:M84"/>
    <mergeCell ref="Q84:S84"/>
    <mergeCell ref="T84:AD84"/>
    <mergeCell ref="A85:C85"/>
    <mergeCell ref="D85:M85"/>
    <mergeCell ref="Q85:S85"/>
    <mergeCell ref="T85:AD85"/>
  </mergeCells>
  <hyperlinks>
    <hyperlink ref="D85" r:id="rId1" xr:uid="{D06878D8-8F53-44C1-B7A1-9FEDCDEC4574}"/>
    <hyperlink ref="T85" r:id="rId2" xr:uid="{2549399E-838A-4D94-9AF5-33AA17BCCE05}"/>
  </hyperlinks>
  <pageMargins left="0.7" right="0.7" top="0.75" bottom="0.75" header="0.3" footer="0.3"/>
  <pageSetup scale="59" fitToHeight="0" orientation="portrait" r:id="rId3"/>
  <headerFooter>
    <oddFooter>&amp;C&amp;G</oddFooter>
  </headerFooter>
  <rowBreaks count="1" manualBreakCount="1">
    <brk id="61" max="29" man="1"/>
  </rowBreaks>
  <drawing r:id="rId4"/>
  <legacyDrawingHF r:id="rId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12</vt:i4>
      </vt:variant>
    </vt:vector>
  </HeadingPairs>
  <TitlesOfParts>
    <vt:vector size="15" baseType="lpstr">
      <vt:lpstr> OBRA</vt:lpstr>
      <vt:lpstr> INTER</vt:lpstr>
      <vt:lpstr>APOYO</vt:lpstr>
      <vt:lpstr>' INTER'!_Hlk503022650</vt:lpstr>
      <vt:lpstr>' OBRA'!_Hlk503022650</vt:lpstr>
      <vt:lpstr>APOYO!_Hlk503022650</vt:lpstr>
      <vt:lpstr>' INTER'!_Hlk503023104</vt:lpstr>
      <vt:lpstr>' OBRA'!_Hlk503023104</vt:lpstr>
      <vt:lpstr>APOYO!_Hlk503023104</vt:lpstr>
      <vt:lpstr>' INTER'!Área_de_impresión</vt:lpstr>
      <vt:lpstr>' OBRA'!Área_de_impresión</vt:lpstr>
      <vt:lpstr>APOYO!Área_de_impresión</vt:lpstr>
      <vt:lpstr>' INTER'!Títulos_a_imprimir</vt:lpstr>
      <vt:lpstr>' OBRA'!Títulos_a_imprimir</vt:lpstr>
      <vt:lpstr>APOYO!Títulos_a_imprimir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jonathan jimenez</cp:lastModifiedBy>
  <cp:lastPrinted>2026-02-25T13:58:15Z</cp:lastPrinted>
  <dcterms:created xsi:type="dcterms:W3CDTF">2021-09-25T16:07:27Z</dcterms:created>
  <dcterms:modified xsi:type="dcterms:W3CDTF">2026-07-09T19:04:07Z</dcterms:modified>
</cp:coreProperties>
</file>